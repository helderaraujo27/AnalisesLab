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elder.Araujo\Documents\AnalisesLab\"/>
    </mc:Choice>
  </mc:AlternateContent>
  <xr:revisionPtr revIDLastSave="0" documentId="13_ncr:1_{049DC744-CFE8-4AC1-914E-285B398F1937}" xr6:coauthVersionLast="47" xr6:coauthVersionMax="47" xr10:uidLastSave="{00000000-0000-0000-0000-000000000000}"/>
  <bookViews>
    <workbookView xWindow="-110" yWindow="-110" windowWidth="19420" windowHeight="11500" activeTab="1" xr2:uid="{40167171-7966-42D3-9A8C-2A084C773355}"/>
  </bookViews>
  <sheets>
    <sheet name="Tabela1" sheetId="8" r:id="rId1"/>
    <sheet name="Tabela Geral" sheetId="1" r:id="rId2"/>
    <sheet name="Relações" sheetId="3" r:id="rId3"/>
    <sheet name="TSH" sheetId="4" r:id="rId4"/>
    <sheet name="T3" sheetId="6" r:id="rId5"/>
    <sheet name="T4" sheetId="7" r:id="rId6"/>
    <sheet name="Bilirrubina " sheetId="9" r:id="rId7"/>
    <sheet name="Monócitos" sheetId="10" r:id="rId8"/>
    <sheet name="Folha2" sheetId="2" r:id="rId9"/>
    <sheet name="Folha10" sheetId="11" r:id="rId10"/>
  </sheets>
  <definedNames>
    <definedName name="_xlnm._FilterDatabase" localSheetId="1" hidden="1">'Tabela Geral'!$B$2:$L$262</definedName>
    <definedName name="DadosExternos_1" localSheetId="0" hidden="1">Tabela1!$A$1:$L$261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0" i="1" l="1"/>
  <c r="N3" i="1"/>
  <c r="N4" i="1"/>
  <c r="N5" i="1"/>
  <c r="N185" i="1"/>
  <c r="N6" i="1"/>
  <c r="N7" i="1"/>
  <c r="N8" i="1"/>
  <c r="N9" i="1"/>
  <c r="N11" i="1"/>
  <c r="N12" i="1"/>
  <c r="N13" i="1"/>
  <c r="N14" i="1"/>
  <c r="N15" i="1"/>
  <c r="N16" i="1"/>
  <c r="N17" i="1"/>
  <c r="N18" i="1"/>
  <c r="N19" i="1"/>
  <c r="N20" i="1"/>
  <c r="N21" i="1"/>
  <c r="N22" i="1"/>
  <c r="N23" i="1"/>
  <c r="N24" i="1"/>
  <c r="N25" i="1"/>
  <c r="N26" i="1"/>
  <c r="N27" i="1"/>
  <c r="N28" i="1"/>
  <c r="N109" i="1"/>
  <c r="N29" i="1"/>
  <c r="N30" i="1"/>
  <c r="N32" i="1"/>
  <c r="N31" i="1"/>
  <c r="N33" i="1"/>
  <c r="N35" i="1"/>
  <c r="N36" i="1"/>
  <c r="N48" i="1"/>
  <c r="N37" i="1"/>
  <c r="N39" i="1"/>
  <c r="N40" i="1"/>
  <c r="N94" i="1"/>
  <c r="N42" i="1"/>
  <c r="N43" i="1"/>
  <c r="N10" i="1"/>
  <c r="N45" i="1"/>
  <c r="N46" i="1"/>
  <c r="N47" i="1"/>
  <c r="N103"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106" i="1"/>
  <c r="N95" i="1"/>
  <c r="N96" i="1"/>
  <c r="N97" i="1"/>
  <c r="N98" i="1"/>
  <c r="N99" i="1"/>
  <c r="N100" i="1"/>
  <c r="N101" i="1"/>
  <c r="N102" i="1"/>
  <c r="N111" i="1"/>
  <c r="N104" i="1"/>
  <c r="N105" i="1"/>
  <c r="N38" i="1"/>
  <c r="N115" i="1"/>
  <c r="N123" i="1"/>
  <c r="N107" i="1"/>
  <c r="N34" i="1"/>
  <c r="N108" i="1"/>
  <c r="N112" i="1"/>
  <c r="N113" i="1"/>
  <c r="N128" i="1"/>
  <c r="N114" i="1"/>
  <c r="N116" i="1"/>
  <c r="N117" i="1"/>
  <c r="N118" i="1"/>
  <c r="N119" i="1"/>
  <c r="N120" i="1"/>
  <c r="N121" i="1"/>
  <c r="N122" i="1"/>
  <c r="N124" i="1"/>
  <c r="N145" i="1"/>
  <c r="N125" i="1"/>
  <c r="N126" i="1"/>
  <c r="N127" i="1"/>
  <c r="N129" i="1"/>
  <c r="N130" i="1"/>
  <c r="N131" i="1"/>
  <c r="N132" i="1"/>
  <c r="N133" i="1"/>
  <c r="N134" i="1"/>
  <c r="N135" i="1"/>
  <c r="N136" i="1"/>
  <c r="N137" i="1"/>
  <c r="N138" i="1"/>
  <c r="N139" i="1"/>
  <c r="N140" i="1"/>
  <c r="N141" i="1"/>
  <c r="N142" i="1"/>
  <c r="N148" i="1"/>
  <c r="N143" i="1"/>
  <c r="N144" i="1"/>
  <c r="N146" i="1"/>
  <c r="N147" i="1"/>
  <c r="N41" i="1"/>
  <c r="N149" i="1"/>
  <c r="N152" i="1"/>
  <c r="N150" i="1"/>
  <c r="N151" i="1"/>
  <c r="N153" i="1"/>
  <c r="N154" i="1"/>
  <c r="N158" i="1"/>
  <c r="N155" i="1"/>
  <c r="N156" i="1"/>
  <c r="N157" i="1"/>
  <c r="N159" i="1"/>
  <c r="N160" i="1"/>
  <c r="N161" i="1"/>
  <c r="N162" i="1"/>
  <c r="N163" i="1"/>
  <c r="N164" i="1"/>
  <c r="N165" i="1"/>
  <c r="N168" i="1"/>
  <c r="N166" i="1"/>
  <c r="N167" i="1"/>
  <c r="N169" i="1"/>
  <c r="N170" i="1"/>
  <c r="N171" i="1"/>
  <c r="N173" i="1"/>
  <c r="N172" i="1"/>
  <c r="N174" i="1"/>
  <c r="N177" i="1"/>
  <c r="N175" i="1"/>
  <c r="N176" i="1"/>
  <c r="N178" i="1"/>
  <c r="N179" i="1"/>
  <c r="N180" i="1"/>
  <c r="N181" i="1"/>
  <c r="N182" i="1"/>
  <c r="N184" i="1"/>
  <c r="N186" i="1"/>
  <c r="N183" i="1"/>
  <c r="N44" i="1"/>
  <c r="N187" i="1"/>
  <c r="N188" i="1"/>
  <c r="N189" i="1"/>
  <c r="N190" i="1"/>
  <c r="N191" i="1"/>
  <c r="N193" i="1"/>
  <c r="N192"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M3" i="1"/>
  <c r="I3" i="1" s="1" a="1"/>
  <c r="I3" i="1" s="1"/>
  <c r="M4" i="1"/>
  <c r="I4" i="1" s="1" a="1"/>
  <c r="I4" i="1" s="1"/>
  <c r="M5" i="1"/>
  <c r="I5" i="1" s="1" a="1"/>
  <c r="I5" i="1" s="1"/>
  <c r="M185" i="1"/>
  <c r="I185" i="1" s="1" a="1"/>
  <c r="I185" i="1" s="1"/>
  <c r="M6" i="1"/>
  <c r="M7" i="1"/>
  <c r="M8" i="1"/>
  <c r="M9" i="1"/>
  <c r="I9" i="1" s="1" a="1"/>
  <c r="I9" i="1" s="1"/>
  <c r="M11" i="1"/>
  <c r="I11" i="1" s="1" a="1"/>
  <c r="I11" i="1" s="1"/>
  <c r="M12" i="1"/>
  <c r="I12" i="1" s="1" a="1"/>
  <c r="I12" i="1" s="1"/>
  <c r="M13" i="1"/>
  <c r="I13" i="1" s="1" a="1"/>
  <c r="I13" i="1" s="1"/>
  <c r="M14" i="1"/>
  <c r="I14" i="1" s="1" a="1"/>
  <c r="I14" i="1" s="1"/>
  <c r="M15" i="1"/>
  <c r="M16" i="1"/>
  <c r="M17" i="1"/>
  <c r="M18" i="1"/>
  <c r="I18" i="1" s="1" a="1"/>
  <c r="I18" i="1" s="1"/>
  <c r="M19" i="1"/>
  <c r="I19" i="1" s="1" a="1"/>
  <c r="I19" i="1" s="1"/>
  <c r="M20" i="1"/>
  <c r="I20" i="1" s="1" a="1"/>
  <c r="I20" i="1" s="1"/>
  <c r="M21" i="1"/>
  <c r="I21" i="1" s="1" a="1"/>
  <c r="I21" i="1" s="1"/>
  <c r="M22" i="1"/>
  <c r="I22" i="1" s="1" a="1"/>
  <c r="I22" i="1" s="1"/>
  <c r="M23" i="1"/>
  <c r="M24" i="1"/>
  <c r="M25" i="1"/>
  <c r="M26" i="1"/>
  <c r="I26" i="1" s="1" a="1"/>
  <c r="I26" i="1" s="1"/>
  <c r="M27" i="1"/>
  <c r="I27" i="1" s="1" a="1"/>
  <c r="I27" i="1" s="1"/>
  <c r="M28" i="1"/>
  <c r="I28" i="1" s="1" a="1"/>
  <c r="I28" i="1" s="1"/>
  <c r="M109" i="1"/>
  <c r="I109" i="1" s="1" a="1"/>
  <c r="I109" i="1" s="1"/>
  <c r="M29" i="1"/>
  <c r="I29" i="1" s="1" a="1"/>
  <c r="I29" i="1" s="1"/>
  <c r="M30" i="1"/>
  <c r="M32" i="1"/>
  <c r="M31" i="1"/>
  <c r="M33" i="1"/>
  <c r="I33" i="1" s="1" a="1"/>
  <c r="I33" i="1" s="1"/>
  <c r="M35" i="1"/>
  <c r="I35" i="1" s="1" a="1"/>
  <c r="I35" i="1" s="1"/>
  <c r="M36" i="1"/>
  <c r="I36" i="1" s="1" a="1"/>
  <c r="I36" i="1" s="1"/>
  <c r="M48" i="1"/>
  <c r="I48" i="1" s="1" a="1"/>
  <c r="I48" i="1" s="1"/>
  <c r="M37" i="1"/>
  <c r="I37" i="1" s="1" a="1"/>
  <c r="I37" i="1" s="1"/>
  <c r="M39" i="1"/>
  <c r="M40" i="1"/>
  <c r="M94" i="1"/>
  <c r="M42" i="1"/>
  <c r="I42" i="1" s="1" a="1"/>
  <c r="I42" i="1" s="1"/>
  <c r="M43" i="1"/>
  <c r="I43" i="1" s="1" a="1"/>
  <c r="I43" i="1" s="1"/>
  <c r="M10" i="1"/>
  <c r="I10" i="1" s="1" a="1"/>
  <c r="I10" i="1" s="1"/>
  <c r="M45" i="1"/>
  <c r="I45" i="1" s="1" a="1"/>
  <c r="I45" i="1" s="1"/>
  <c r="M46" i="1"/>
  <c r="I46" i="1" s="1" a="1"/>
  <c r="I46" i="1" s="1"/>
  <c r="M47" i="1"/>
  <c r="M103" i="1"/>
  <c r="M49" i="1"/>
  <c r="M50" i="1"/>
  <c r="I50" i="1" s="1" a="1"/>
  <c r="I50" i="1" s="1"/>
  <c r="M51" i="1"/>
  <c r="I51" i="1" s="1" a="1"/>
  <c r="I51" i="1" s="1"/>
  <c r="M52" i="1"/>
  <c r="I52" i="1" s="1" a="1"/>
  <c r="I52" i="1" s="1"/>
  <c r="M53" i="1"/>
  <c r="I53" i="1" s="1" a="1"/>
  <c r="I53" i="1" s="1"/>
  <c r="M54" i="1"/>
  <c r="I54" i="1" s="1" a="1"/>
  <c r="I54" i="1" s="1"/>
  <c r="M55" i="1"/>
  <c r="M56" i="1"/>
  <c r="M57" i="1"/>
  <c r="M58" i="1"/>
  <c r="I58" i="1" s="1" a="1"/>
  <c r="I58" i="1" s="1"/>
  <c r="M59" i="1"/>
  <c r="I59" i="1" s="1" a="1"/>
  <c r="I59" i="1" s="1"/>
  <c r="M60" i="1"/>
  <c r="I60" i="1" s="1" a="1"/>
  <c r="I60" i="1" s="1"/>
  <c r="M61" i="1"/>
  <c r="I61" i="1" s="1" a="1"/>
  <c r="I61" i="1" s="1"/>
  <c r="M62" i="1"/>
  <c r="I62" i="1" s="1" a="1"/>
  <c r="I62" i="1" s="1"/>
  <c r="M63" i="1"/>
  <c r="M64" i="1"/>
  <c r="M65" i="1"/>
  <c r="M66" i="1"/>
  <c r="I66" i="1" s="1" a="1"/>
  <c r="I66" i="1" s="1"/>
  <c r="M67" i="1"/>
  <c r="I67" i="1" s="1" a="1"/>
  <c r="I67" i="1" s="1"/>
  <c r="M68" i="1"/>
  <c r="I68" i="1" s="1" a="1"/>
  <c r="I68" i="1" s="1"/>
  <c r="M69" i="1"/>
  <c r="I69" i="1" s="1" a="1"/>
  <c r="I69" i="1" s="1"/>
  <c r="M70" i="1"/>
  <c r="I70" i="1" s="1" a="1"/>
  <c r="I70" i="1" s="1"/>
  <c r="M71" i="1"/>
  <c r="M72" i="1"/>
  <c r="M73" i="1"/>
  <c r="M74" i="1"/>
  <c r="I74" i="1" s="1" a="1"/>
  <c r="I74" i="1" s="1"/>
  <c r="M75" i="1"/>
  <c r="I75" i="1" s="1" a="1"/>
  <c r="I75" i="1" s="1"/>
  <c r="M76" i="1"/>
  <c r="I76" i="1" s="1" a="1"/>
  <c r="I76" i="1" s="1"/>
  <c r="M77" i="1"/>
  <c r="I77" i="1" s="1" a="1"/>
  <c r="I77" i="1" s="1"/>
  <c r="M78" i="1"/>
  <c r="I78" i="1" s="1" a="1"/>
  <c r="I78" i="1" s="1"/>
  <c r="M79" i="1"/>
  <c r="M80" i="1"/>
  <c r="M81" i="1"/>
  <c r="M82" i="1"/>
  <c r="I82" i="1" s="1" a="1"/>
  <c r="I82" i="1" s="1"/>
  <c r="M83" i="1"/>
  <c r="I83" i="1" s="1" a="1"/>
  <c r="I83" i="1" s="1"/>
  <c r="M84" i="1"/>
  <c r="I84" i="1" s="1" a="1"/>
  <c r="I84" i="1" s="1"/>
  <c r="M85" i="1"/>
  <c r="I85" i="1" s="1" a="1"/>
  <c r="I85" i="1" s="1"/>
  <c r="M86" i="1"/>
  <c r="I86" i="1" s="1" a="1"/>
  <c r="I86" i="1" s="1"/>
  <c r="M87" i="1"/>
  <c r="M88" i="1"/>
  <c r="M89" i="1"/>
  <c r="M90" i="1"/>
  <c r="I90" i="1" s="1" a="1"/>
  <c r="I90" i="1" s="1"/>
  <c r="M91" i="1"/>
  <c r="I91" i="1" s="1" a="1"/>
  <c r="I91" i="1" s="1"/>
  <c r="M92" i="1"/>
  <c r="I92" i="1" s="1" a="1"/>
  <c r="I92" i="1" s="1"/>
  <c r="M93" i="1"/>
  <c r="I93" i="1" s="1" a="1"/>
  <c r="I93" i="1" s="1"/>
  <c r="M106" i="1"/>
  <c r="I106" i="1" s="1" a="1"/>
  <c r="I106" i="1" s="1"/>
  <c r="M95" i="1"/>
  <c r="M96" i="1"/>
  <c r="M97" i="1"/>
  <c r="M98" i="1"/>
  <c r="I98" i="1" s="1" a="1"/>
  <c r="I98" i="1" s="1"/>
  <c r="M99" i="1"/>
  <c r="I99" i="1" s="1" a="1"/>
  <c r="I99" i="1" s="1"/>
  <c r="M100" i="1"/>
  <c r="I100" i="1" s="1" a="1"/>
  <c r="I100" i="1" s="1"/>
  <c r="M101" i="1"/>
  <c r="I101" i="1" s="1" a="1"/>
  <c r="I101" i="1" s="1"/>
  <c r="M102" i="1"/>
  <c r="I102" i="1" s="1" a="1"/>
  <c r="I102" i="1" s="1"/>
  <c r="M111" i="1"/>
  <c r="M104" i="1"/>
  <c r="M105" i="1"/>
  <c r="M38" i="1"/>
  <c r="I38" i="1" s="1" a="1"/>
  <c r="I38" i="1" s="1"/>
  <c r="M115" i="1"/>
  <c r="I115" i="1" s="1" a="1"/>
  <c r="I115" i="1" s="1"/>
  <c r="M123" i="1"/>
  <c r="I123" i="1" s="1" a="1"/>
  <c r="I123" i="1" s="1"/>
  <c r="M107" i="1"/>
  <c r="I107" i="1" s="1" a="1"/>
  <c r="I107" i="1" s="1"/>
  <c r="M34" i="1"/>
  <c r="I34" i="1" s="1" a="1"/>
  <c r="I34" i="1" s="1"/>
  <c r="M108" i="1"/>
  <c r="M112" i="1"/>
  <c r="M113" i="1"/>
  <c r="M128" i="1"/>
  <c r="I128" i="1" s="1" a="1"/>
  <c r="I128" i="1" s="1"/>
  <c r="M114" i="1"/>
  <c r="I114" i="1" s="1" a="1"/>
  <c r="I114" i="1" s="1"/>
  <c r="M116" i="1"/>
  <c r="I116" i="1" s="1" a="1"/>
  <c r="I116" i="1" s="1"/>
  <c r="M117" i="1"/>
  <c r="I117" i="1" s="1" a="1"/>
  <c r="I117" i="1" s="1"/>
  <c r="M118" i="1"/>
  <c r="I118" i="1" s="1" a="1"/>
  <c r="I118" i="1" s="1"/>
  <c r="M119" i="1"/>
  <c r="I119" i="1" s="1" a="1"/>
  <c r="I119" i="1" s="1"/>
  <c r="M120" i="1"/>
  <c r="M121" i="1"/>
  <c r="M122" i="1"/>
  <c r="I122" i="1" s="1" a="1"/>
  <c r="I122" i="1" s="1"/>
  <c r="M110" i="1"/>
  <c r="I110" i="1" s="1" a="1"/>
  <c r="I110" i="1" s="1"/>
  <c r="M124" i="1"/>
  <c r="I124" i="1" s="1" a="1"/>
  <c r="I124" i="1" s="1"/>
  <c r="M145" i="1"/>
  <c r="I145" i="1" s="1" a="1"/>
  <c r="I145" i="1" s="1"/>
  <c r="M125" i="1"/>
  <c r="I125" i="1" s="1" a="1"/>
  <c r="I125" i="1" s="1"/>
  <c r="M126" i="1"/>
  <c r="M127" i="1"/>
  <c r="M129" i="1"/>
  <c r="I129" i="1" s="1" a="1"/>
  <c r="I129" i="1" s="1"/>
  <c r="M130" i="1"/>
  <c r="M131" i="1"/>
  <c r="I131" i="1" s="1" a="1"/>
  <c r="I131" i="1" s="1"/>
  <c r="M132" i="1"/>
  <c r="I132" i="1" s="1" a="1"/>
  <c r="I132" i="1" s="1"/>
  <c r="M133" i="1"/>
  <c r="I133" i="1" s="1" a="1"/>
  <c r="I133" i="1" s="1"/>
  <c r="M134" i="1"/>
  <c r="I134" i="1" s="1" a="1"/>
  <c r="I134" i="1" s="1"/>
  <c r="M135" i="1"/>
  <c r="M136" i="1"/>
  <c r="M137" i="1"/>
  <c r="M138" i="1"/>
  <c r="M139" i="1"/>
  <c r="I139" i="1" s="1" a="1"/>
  <c r="I139" i="1" s="1"/>
  <c r="M140" i="1"/>
  <c r="I140" i="1" s="1" a="1"/>
  <c r="I140" i="1" s="1"/>
  <c r="M141" i="1"/>
  <c r="I141" i="1" s="1" a="1"/>
  <c r="I141" i="1" s="1"/>
  <c r="M142" i="1"/>
  <c r="I142" i="1" s="1" a="1"/>
  <c r="I142" i="1" s="1"/>
  <c r="M148" i="1"/>
  <c r="M143" i="1"/>
  <c r="M144" i="1"/>
  <c r="M146" i="1"/>
  <c r="M147" i="1"/>
  <c r="I147" i="1" s="1" a="1"/>
  <c r="I147" i="1" s="1"/>
  <c r="M41" i="1"/>
  <c r="I41" i="1" s="1" a="1"/>
  <c r="I41" i="1" s="1"/>
  <c r="M149" i="1"/>
  <c r="I149" i="1" s="1" a="1"/>
  <c r="I149" i="1" s="1"/>
  <c r="M152" i="1"/>
  <c r="I152" i="1" s="1" a="1"/>
  <c r="I152" i="1" s="1"/>
  <c r="M150" i="1"/>
  <c r="M151" i="1"/>
  <c r="M153" i="1"/>
  <c r="M154" i="1"/>
  <c r="M158" i="1"/>
  <c r="I158" i="1" s="1" a="1"/>
  <c r="I158" i="1" s="1"/>
  <c r="M155" i="1"/>
  <c r="I155" i="1" s="1" a="1"/>
  <c r="I155" i="1" s="1"/>
  <c r="M156" i="1"/>
  <c r="I156" i="1" s="1" a="1"/>
  <c r="I156" i="1" s="1"/>
  <c r="M157" i="1"/>
  <c r="I157" i="1" s="1" a="1"/>
  <c r="I157" i="1" s="1"/>
  <c r="M159" i="1"/>
  <c r="M160" i="1"/>
  <c r="M161" i="1"/>
  <c r="M162" i="1"/>
  <c r="M163" i="1"/>
  <c r="I163" i="1" s="1" a="1"/>
  <c r="I163" i="1" s="1"/>
  <c r="M164" i="1"/>
  <c r="I164" i="1" s="1" a="1"/>
  <c r="I164" i="1" s="1"/>
  <c r="M165" i="1"/>
  <c r="I165" i="1" s="1" a="1"/>
  <c r="I165" i="1" s="1"/>
  <c r="M168" i="1"/>
  <c r="I168" i="1" s="1" a="1"/>
  <c r="I168" i="1" s="1"/>
  <c r="M166" i="1"/>
  <c r="M167" i="1"/>
  <c r="M169" i="1"/>
  <c r="M170" i="1"/>
  <c r="M171" i="1"/>
  <c r="I171" i="1" s="1" a="1"/>
  <c r="I171" i="1" s="1"/>
  <c r="M173" i="1"/>
  <c r="I173" i="1" s="1" a="1"/>
  <c r="I173" i="1" s="1"/>
  <c r="M172" i="1"/>
  <c r="I172" i="1" s="1" a="1"/>
  <c r="I172" i="1" s="1"/>
  <c r="M174" i="1"/>
  <c r="I174" i="1" s="1" a="1"/>
  <c r="I174" i="1" s="1"/>
  <c r="M177" i="1"/>
  <c r="M175" i="1"/>
  <c r="M176" i="1"/>
  <c r="M178" i="1"/>
  <c r="M179" i="1"/>
  <c r="I179" i="1" s="1" a="1"/>
  <c r="I179" i="1" s="1"/>
  <c r="M180" i="1"/>
  <c r="I180" i="1" s="1" a="1"/>
  <c r="I180" i="1" s="1"/>
  <c r="M181" i="1"/>
  <c r="I181" i="1" s="1" a="1"/>
  <c r="I181" i="1" s="1"/>
  <c r="M182" i="1"/>
  <c r="I182" i="1" s="1" a="1"/>
  <c r="I182" i="1" s="1"/>
  <c r="M184" i="1"/>
  <c r="M186" i="1"/>
  <c r="M183" i="1"/>
  <c r="M44" i="1"/>
  <c r="M187" i="1"/>
  <c r="I187" i="1" s="1" a="1"/>
  <c r="I187" i="1" s="1"/>
  <c r="M188" i="1"/>
  <c r="I188" i="1" s="1" a="1"/>
  <c r="I188" i="1" s="1"/>
  <c r="M189" i="1"/>
  <c r="I189" i="1" s="1" a="1"/>
  <c r="I189" i="1" s="1"/>
  <c r="M190" i="1"/>
  <c r="I190" i="1" s="1" a="1"/>
  <c r="I190" i="1" s="1"/>
  <c r="M191" i="1"/>
  <c r="M193" i="1"/>
  <c r="M192" i="1"/>
  <c r="M194" i="1"/>
  <c r="M195" i="1"/>
  <c r="I195" i="1" s="1" a="1"/>
  <c r="I195" i="1" s="1"/>
  <c r="M196" i="1"/>
  <c r="I196" i="1" s="1" a="1"/>
  <c r="I196" i="1" s="1"/>
  <c r="M197" i="1"/>
  <c r="I197" i="1" s="1" a="1"/>
  <c r="I197" i="1" s="1"/>
  <c r="M198" i="1"/>
  <c r="I198" i="1" s="1" a="1"/>
  <c r="I198" i="1" s="1"/>
  <c r="M199" i="1"/>
  <c r="M200" i="1"/>
  <c r="M201" i="1"/>
  <c r="M202" i="1"/>
  <c r="M203" i="1"/>
  <c r="I203" i="1" s="1" a="1"/>
  <c r="I203" i="1" s="1"/>
  <c r="M204" i="1"/>
  <c r="I204" i="1" s="1" a="1"/>
  <c r="I204" i="1" s="1"/>
  <c r="M205" i="1"/>
  <c r="I205" i="1" s="1" a="1"/>
  <c r="I205" i="1" s="1"/>
  <c r="M206" i="1"/>
  <c r="I206" i="1" s="1" a="1"/>
  <c r="I206" i="1" s="1"/>
  <c r="M207" i="1"/>
  <c r="M208" i="1"/>
  <c r="M209" i="1"/>
  <c r="M210" i="1"/>
  <c r="M211" i="1"/>
  <c r="I211" i="1" s="1" a="1"/>
  <c r="I211" i="1" s="1"/>
  <c r="M212" i="1"/>
  <c r="I212" i="1" s="1" a="1"/>
  <c r="I212" i="1" s="1"/>
  <c r="M213" i="1"/>
  <c r="I213" i="1" s="1" a="1"/>
  <c r="I213" i="1" s="1"/>
  <c r="M214" i="1"/>
  <c r="I214" i="1" s="1" a="1"/>
  <c r="I214" i="1" s="1"/>
  <c r="M215" i="1"/>
  <c r="M216" i="1"/>
  <c r="M217" i="1"/>
  <c r="M218" i="1"/>
  <c r="M219" i="1"/>
  <c r="I219" i="1" s="1" a="1"/>
  <c r="I219" i="1" s="1"/>
  <c r="M220" i="1"/>
  <c r="I220" i="1" s="1" a="1"/>
  <c r="I220" i="1" s="1"/>
  <c r="M221" i="1"/>
  <c r="I221" i="1" s="1" a="1"/>
  <c r="I221" i="1" s="1"/>
  <c r="M222" i="1"/>
  <c r="I222" i="1" s="1" a="1"/>
  <c r="I222" i="1" s="1"/>
  <c r="M223" i="1"/>
  <c r="M224" i="1"/>
  <c r="M225" i="1"/>
  <c r="M226" i="1"/>
  <c r="M227" i="1"/>
  <c r="I227" i="1" s="1" a="1"/>
  <c r="I227" i="1" s="1"/>
  <c r="M228" i="1"/>
  <c r="I228" i="1" s="1" a="1"/>
  <c r="I228" i="1" s="1"/>
  <c r="M229" i="1"/>
  <c r="I229" i="1" s="1" a="1"/>
  <c r="I229" i="1" s="1"/>
  <c r="M230" i="1"/>
  <c r="I230" i="1" s="1" a="1"/>
  <c r="I230" i="1" s="1"/>
  <c r="M231" i="1"/>
  <c r="M232" i="1"/>
  <c r="M233" i="1"/>
  <c r="M234" i="1"/>
  <c r="M235" i="1"/>
  <c r="I235" i="1" s="1" a="1"/>
  <c r="I235" i="1" s="1"/>
  <c r="M236" i="1"/>
  <c r="I236" i="1" s="1" a="1"/>
  <c r="I236" i="1" s="1"/>
  <c r="M237" i="1"/>
  <c r="I237" i="1" s="1" a="1"/>
  <c r="I237" i="1" s="1"/>
  <c r="M238" i="1"/>
  <c r="I238" i="1" s="1" a="1"/>
  <c r="I238" i="1" s="1"/>
  <c r="M239" i="1"/>
  <c r="M240" i="1"/>
  <c r="M241" i="1"/>
  <c r="M242" i="1"/>
  <c r="M243" i="1"/>
  <c r="I243" i="1" s="1" a="1"/>
  <c r="I243" i="1" s="1"/>
  <c r="M244" i="1"/>
  <c r="I244" i="1" s="1" a="1"/>
  <c r="I244" i="1" s="1"/>
  <c r="M245" i="1"/>
  <c r="I245" i="1" s="1" a="1"/>
  <c r="I245" i="1" s="1"/>
  <c r="M246" i="1"/>
  <c r="I246" i="1" s="1" a="1"/>
  <c r="I246" i="1" s="1"/>
  <c r="M247" i="1"/>
  <c r="M248" i="1"/>
  <c r="M249" i="1"/>
  <c r="M250" i="1"/>
  <c r="M251" i="1"/>
  <c r="I251" i="1" s="1" a="1"/>
  <c r="I251" i="1" s="1"/>
  <c r="M252" i="1"/>
  <c r="I252" i="1" s="1" a="1"/>
  <c r="I252" i="1" s="1"/>
  <c r="M253" i="1"/>
  <c r="I253" i="1" s="1" a="1"/>
  <c r="I253" i="1" s="1"/>
  <c r="M254" i="1"/>
  <c r="I254" i="1" s="1" a="1"/>
  <c r="I254" i="1" s="1"/>
  <c r="M255" i="1"/>
  <c r="M256" i="1"/>
  <c r="M257" i="1"/>
  <c r="M258" i="1"/>
  <c r="M259" i="1"/>
  <c r="I259" i="1" s="1" a="1"/>
  <c r="I259" i="1" s="1"/>
  <c r="M260" i="1"/>
  <c r="I260" i="1" s="1" a="1"/>
  <c r="I260" i="1" s="1"/>
  <c r="M261" i="1"/>
  <c r="I261" i="1" s="1" a="1"/>
  <c r="I261" i="1" s="1"/>
  <c r="M262" i="1"/>
  <c r="I262" i="1" s="1" a="1"/>
  <c r="I262" i="1" s="1"/>
  <c r="I255" i="1" l="1" a="1"/>
  <c r="I255" i="1" s="1"/>
  <c r="I247" i="1" a="1"/>
  <c r="I247" i="1" s="1"/>
  <c r="I239" i="1" a="1"/>
  <c r="I239" i="1" s="1"/>
  <c r="I231" i="1" a="1"/>
  <c r="I231" i="1" s="1"/>
  <c r="I223" i="1" a="1"/>
  <c r="I223" i="1" s="1"/>
  <c r="I215" i="1" a="1"/>
  <c r="I215" i="1" s="1"/>
  <c r="I207" i="1" a="1"/>
  <c r="I207" i="1" s="1"/>
  <c r="I199" i="1" a="1"/>
  <c r="I199" i="1" s="1"/>
  <c r="I191" i="1" a="1"/>
  <c r="I191" i="1" s="1"/>
  <c r="I184" i="1" a="1"/>
  <c r="I184" i="1" s="1"/>
  <c r="I177" i="1" a="1"/>
  <c r="I177" i="1" s="1"/>
  <c r="I166" i="1" a="1"/>
  <c r="I166" i="1" s="1"/>
  <c r="I159" i="1" a="1"/>
  <c r="I159" i="1" s="1"/>
  <c r="I150" i="1" a="1"/>
  <c r="I150" i="1" s="1"/>
  <c r="I148" i="1" a="1"/>
  <c r="I148" i="1" s="1"/>
  <c r="I135" i="1" a="1"/>
  <c r="I135" i="1" s="1"/>
  <c r="I126" i="1" a="1"/>
  <c r="I126" i="1" s="1"/>
  <c r="I258" i="1" a="1"/>
  <c r="I258" i="1" s="1"/>
  <c r="I250" i="1" a="1"/>
  <c r="I250" i="1" s="1"/>
  <c r="I242" i="1" a="1"/>
  <c r="I242" i="1" s="1"/>
  <c r="I234" i="1" a="1"/>
  <c r="I234" i="1" s="1"/>
  <c r="I226" i="1" a="1"/>
  <c r="I226" i="1" s="1"/>
  <c r="I218" i="1" a="1"/>
  <c r="I218" i="1" s="1"/>
  <c r="I210" i="1" a="1"/>
  <c r="I210" i="1" s="1"/>
  <c r="I202" i="1" a="1"/>
  <c r="I202" i="1" s="1"/>
  <c r="I194" i="1" a="1"/>
  <c r="I194" i="1" s="1"/>
  <c r="I44" i="1" a="1"/>
  <c r="I44" i="1" s="1"/>
  <c r="I178" i="1" a="1"/>
  <c r="I178" i="1" s="1"/>
  <c r="I170" i="1" a="1"/>
  <c r="I170" i="1" s="1"/>
  <c r="I162" i="1" a="1"/>
  <c r="I162" i="1" s="1"/>
  <c r="I154" i="1" a="1"/>
  <c r="I154" i="1" s="1"/>
  <c r="I146" i="1" a="1"/>
  <c r="I146" i="1" s="1"/>
  <c r="I138" i="1" a="1"/>
  <c r="I138" i="1" s="1"/>
  <c r="I130" i="1" a="1"/>
  <c r="I130" i="1" s="1"/>
  <c r="I257" i="1" a="1"/>
  <c r="I257" i="1" s="1"/>
  <c r="I225" i="1" a="1"/>
  <c r="I225" i="1" s="1"/>
  <c r="I192" i="1" a="1"/>
  <c r="I192" i="1" s="1"/>
  <c r="I169" i="1" a="1"/>
  <c r="I169" i="1" s="1"/>
  <c r="I137" i="1" a="1"/>
  <c r="I137" i="1" s="1"/>
  <c r="I113" i="1" a="1"/>
  <c r="I113" i="1" s="1"/>
  <c r="I73" i="1" a="1"/>
  <c r="I73" i="1" s="1"/>
  <c r="I8" i="1" a="1"/>
  <c r="I8" i="1" s="1"/>
  <c r="I249" i="1" a="1"/>
  <c r="I249" i="1" s="1"/>
  <c r="I241" i="1" a="1"/>
  <c r="I241" i="1" s="1"/>
  <c r="I233" i="1" a="1"/>
  <c r="I233" i="1" s="1"/>
  <c r="I217" i="1" a="1"/>
  <c r="I217" i="1" s="1"/>
  <c r="I209" i="1" a="1"/>
  <c r="I209" i="1" s="1"/>
  <c r="I201" i="1" a="1"/>
  <c r="I201" i="1" s="1"/>
  <c r="I183" i="1" a="1"/>
  <c r="I183" i="1" s="1"/>
  <c r="I176" i="1" a="1"/>
  <c r="I176" i="1" s="1"/>
  <c r="I161" i="1" a="1"/>
  <c r="I161" i="1" s="1"/>
  <c r="I153" i="1" a="1"/>
  <c r="I153" i="1" s="1"/>
  <c r="I144" i="1" a="1"/>
  <c r="I144" i="1" s="1"/>
  <c r="I121" i="1" a="1"/>
  <c r="I121" i="1" s="1"/>
  <c r="I105" i="1" a="1"/>
  <c r="I105" i="1" s="1"/>
  <c r="I97" i="1" a="1"/>
  <c r="I97" i="1" s="1"/>
  <c r="I89" i="1" a="1"/>
  <c r="I89" i="1" s="1"/>
  <c r="I81" i="1" a="1"/>
  <c r="I81" i="1" s="1"/>
  <c r="I65" i="1" a="1"/>
  <c r="I65" i="1" s="1"/>
  <c r="I57" i="1" a="1"/>
  <c r="I57" i="1" s="1"/>
  <c r="I49" i="1" a="1"/>
  <c r="I49" i="1" s="1"/>
  <c r="I94" i="1" a="1"/>
  <c r="I94" i="1" s="1"/>
  <c r="I31" i="1" a="1"/>
  <c r="I31" i="1" s="1"/>
  <c r="I25" i="1" a="1"/>
  <c r="I25" i="1" s="1"/>
  <c r="I17" i="1" a="1"/>
  <c r="I17" i="1" s="1"/>
  <c r="I120" i="1" a="1"/>
  <c r="I120" i="1" s="1"/>
  <c r="I112" i="1" a="1"/>
  <c r="I112" i="1" s="1"/>
  <c r="I104" i="1" a="1"/>
  <c r="I104" i="1" s="1"/>
  <c r="I96" i="1" a="1"/>
  <c r="I96" i="1" s="1"/>
  <c r="I88" i="1" a="1"/>
  <c r="I88" i="1" s="1"/>
  <c r="I80" i="1" a="1"/>
  <c r="I80" i="1" s="1"/>
  <c r="I72" i="1" a="1"/>
  <c r="I72" i="1" s="1"/>
  <c r="I64" i="1" a="1"/>
  <c r="I64" i="1" s="1"/>
  <c r="I56" i="1" a="1"/>
  <c r="I56" i="1" s="1"/>
  <c r="I103" i="1" a="1"/>
  <c r="I103" i="1" s="1"/>
  <c r="I40" i="1" a="1"/>
  <c r="I40" i="1" s="1"/>
  <c r="I32" i="1" a="1"/>
  <c r="I32" i="1" s="1"/>
  <c r="I24" i="1" a="1"/>
  <c r="I24" i="1" s="1"/>
  <c r="I16" i="1" a="1"/>
  <c r="I16" i="1" s="1"/>
  <c r="I7" i="1" a="1"/>
  <c r="I7" i="1" s="1"/>
  <c r="I256" i="1" a="1"/>
  <c r="I256" i="1" s="1"/>
  <c r="I248" i="1" a="1"/>
  <c r="I248" i="1" s="1"/>
  <c r="I240" i="1" a="1"/>
  <c r="I240" i="1" s="1"/>
  <c r="I232" i="1" a="1"/>
  <c r="I232" i="1" s="1"/>
  <c r="I224" i="1" a="1"/>
  <c r="I224" i="1" s="1"/>
  <c r="I216" i="1" a="1"/>
  <c r="I216" i="1" s="1"/>
  <c r="I208" i="1" a="1"/>
  <c r="I208" i="1" s="1"/>
  <c r="I200" i="1" a="1"/>
  <c r="I200" i="1" s="1"/>
  <c r="I193" i="1" a="1"/>
  <c r="I193" i="1" s="1"/>
  <c r="I186" i="1" a="1"/>
  <c r="I186" i="1" s="1"/>
  <c r="I175" i="1" a="1"/>
  <c r="I175" i="1" s="1"/>
  <c r="I167" i="1" a="1"/>
  <c r="I167" i="1" s="1"/>
  <c r="I160" i="1" a="1"/>
  <c r="I160" i="1" s="1"/>
  <c r="I151" i="1" a="1"/>
  <c r="I151" i="1" s="1"/>
  <c r="I143" i="1" a="1"/>
  <c r="I143" i="1" s="1"/>
  <c r="I136" i="1" a="1"/>
  <c r="I136" i="1" s="1"/>
  <c r="I127" i="1" a="1"/>
  <c r="I127" i="1" s="1"/>
  <c r="I108" i="1" a="1"/>
  <c r="I108" i="1" s="1"/>
  <c r="I111" i="1" a="1"/>
  <c r="I111" i="1" s="1"/>
  <c r="I95" i="1" a="1"/>
  <c r="I95" i="1" s="1"/>
  <c r="I87" i="1" a="1"/>
  <c r="I87" i="1" s="1"/>
  <c r="I79" i="1" a="1"/>
  <c r="I79" i="1" s="1"/>
  <c r="I71" i="1" a="1"/>
  <c r="I71" i="1" s="1"/>
  <c r="I63" i="1" a="1"/>
  <c r="I63" i="1" s="1"/>
  <c r="I55" i="1" a="1"/>
  <c r="I55" i="1" s="1"/>
  <c r="I47" i="1" a="1"/>
  <c r="I47" i="1" s="1"/>
  <c r="I39" i="1" a="1"/>
  <c r="I39" i="1" s="1"/>
  <c r="I30" i="1" a="1"/>
  <c r="I30" i="1" s="1"/>
  <c r="I23" i="1" a="1"/>
  <c r="I23" i="1" s="1"/>
  <c r="I15" i="1" a="1"/>
  <c r="I15" i="1" s="1"/>
  <c r="I6" i="1" a="1"/>
  <c r="I6"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A5303C-12EC-4056-ABEA-93427C32102F}" keepAlive="1" name="Consulta - Tabela1" description="Ligação à consulta 'Tabela1' no livro." type="5" refreshedVersion="8" background="1" saveData="1">
    <dbPr connection="Provider=Microsoft.Mashup.OleDb.1;Data Source=$Workbook$;Location=Tabela1;Extended Properties=&quot;&quot;" command="SELECT * FROM [Tabela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<sst xmlns="http://schemas.openxmlformats.org/spreadsheetml/2006/main" count="3246" uniqueCount="432">
  <si>
    <t>Triglicéridos</t>
  </si>
  <si>
    <t>Colesterol Total</t>
  </si>
  <si>
    <t>Colesterol da Fracção HDL</t>
  </si>
  <si>
    <t>Colesterol da Fracção LDL</t>
  </si>
  <si>
    <t>Synlab</t>
  </si>
  <si>
    <t>Análise</t>
  </si>
  <si>
    <t>Min</t>
  </si>
  <si>
    <t>Max</t>
  </si>
  <si>
    <t>Laboratório</t>
  </si>
  <si>
    <t>Data</t>
  </si>
  <si>
    <t>Valor</t>
  </si>
  <si>
    <t>Unilabs</t>
  </si>
  <si>
    <t>Creatinina</t>
  </si>
  <si>
    <t>Glucose/Glicose</t>
  </si>
  <si>
    <t>Ácido Úrico</t>
  </si>
  <si>
    <t>Espectofotométrico - Hexocínase</t>
  </si>
  <si>
    <t>Espectrofotometria - enzimático</t>
  </si>
  <si>
    <t>Espectrofotometria - Uricase / Peroxidase</t>
  </si>
  <si>
    <t>Colorimetria (CHOD-PAP)</t>
  </si>
  <si>
    <t>Colorimetria (LPL/GK/GPO-PAP)</t>
  </si>
  <si>
    <t>Hexoquinase</t>
  </si>
  <si>
    <t>Colorimetria (Catalase/CHOD-PAP)</t>
  </si>
  <si>
    <t>Cálculo Friedewald</t>
  </si>
  <si>
    <t>Sódio</t>
  </si>
  <si>
    <t>Potenciometria de eléctrodos selectivos</t>
  </si>
  <si>
    <t>Potássio</t>
  </si>
  <si>
    <t>Cloretos</t>
  </si>
  <si>
    <t>Aspartato Aminotransferase (TGO)</t>
  </si>
  <si>
    <t>Espectrofotometria - Enzimático (IFCC modificado)</t>
  </si>
  <si>
    <t>Alanina Aminotransferase (TGP)</t>
  </si>
  <si>
    <t>Gama Glutamil-Transferase</t>
  </si>
  <si>
    <t>Hepatite B - Antigénio HBs</t>
  </si>
  <si>
    <t>Imunoensaio de Quimioluminescência</t>
  </si>
  <si>
    <t>Negativo</t>
  </si>
  <si>
    <t>Hepatite B - Atc Anti-HBs</t>
  </si>
  <si>
    <t>Hepatite B - Atc HBc total</t>
  </si>
  <si>
    <t>Hepatite C - HCV, Serologia</t>
  </si>
  <si>
    <t>Anticorpos HIV1 e HIV2 + Antigénio p24</t>
  </si>
  <si>
    <t>TSH</t>
  </si>
  <si>
    <t>PSA Total (PSAt)</t>
  </si>
  <si>
    <t>Fenobarbital</t>
  </si>
  <si>
    <t>EMIT - Imunoensaio enzimático quantitativo</t>
  </si>
  <si>
    <t>Tipologia</t>
  </si>
  <si>
    <t>Método</t>
  </si>
  <si>
    <t>Sangue</t>
  </si>
  <si>
    <t>Côr</t>
  </si>
  <si>
    <t>Aspeto</t>
  </si>
  <si>
    <t>pH</t>
  </si>
  <si>
    <t>Densidade</t>
  </si>
  <si>
    <t>Proteínas</t>
  </si>
  <si>
    <t>Corpos Cetónicos</t>
  </si>
  <si>
    <t>Hemoglobina</t>
  </si>
  <si>
    <t>Urobilinogénio</t>
  </si>
  <si>
    <t>Nitritos</t>
  </si>
  <si>
    <t>Leucócitos</t>
  </si>
  <si>
    <t>Cristais Oxalato da Ca Dihidratado</t>
  </si>
  <si>
    <t>Amarela</t>
  </si>
  <si>
    <t>Limpido</t>
  </si>
  <si>
    <t>Vestígios</t>
  </si>
  <si>
    <t>Ausente</t>
  </si>
  <si>
    <t>Ausentes</t>
  </si>
  <si>
    <t>Alguns</t>
  </si>
  <si>
    <r>
      <t>Leucócitos /</t>
    </r>
    <r>
      <rPr>
        <sz val="11"/>
        <color theme="1"/>
        <rFont val="Calibri"/>
        <family val="2"/>
      </rPr>
      <t>µ</t>
    </r>
    <r>
      <rPr>
        <sz val="11"/>
        <color theme="1"/>
        <rFont val="Calibri"/>
        <family val="2"/>
        <scheme val="minor"/>
      </rPr>
      <t>L</t>
    </r>
  </si>
  <si>
    <t>Eritrocitos /µL</t>
  </si>
  <si>
    <t>Células Epit. Descamadas /µL</t>
  </si>
  <si>
    <t>Leucócitos /cp</t>
  </si>
  <si>
    <t>Eritrocitos /cp</t>
  </si>
  <si>
    <t>Células Epit. Descamadas /cp</t>
  </si>
  <si>
    <t>Reflectância / Espectrofotometria / Citometria / Microscopia</t>
  </si>
  <si>
    <t>Citometria/microscopia</t>
  </si>
  <si>
    <t>Turbidimetria</t>
  </si>
  <si>
    <t>Germano de Sousa</t>
  </si>
  <si>
    <t>Proteínas (mg/24h)</t>
  </si>
  <si>
    <t>Volume</t>
  </si>
  <si>
    <t>Creatininémia</t>
  </si>
  <si>
    <t>Creatininúria</t>
  </si>
  <si>
    <t>Clearance</t>
  </si>
  <si>
    <t>Débito urinário</t>
  </si>
  <si>
    <t>Período da colheita</t>
  </si>
  <si>
    <t>Jaffé Cinético modificado</t>
  </si>
  <si>
    <t>"Clearance" da Creatinina-Jaffé Cinético modificado</t>
  </si>
  <si>
    <t>Adrenalina</t>
  </si>
  <si>
    <t>Noradrenalina</t>
  </si>
  <si>
    <t>Dopamina</t>
  </si>
  <si>
    <t>Volume de urina das 24 horas</t>
  </si>
  <si>
    <t>Catecolaminas Urinárias-Cromatografia Líquida</t>
  </si>
  <si>
    <t>Metanefrinas Totais Urinárias--Cromatografia Líquida</t>
  </si>
  <si>
    <t>Metanefrina</t>
  </si>
  <si>
    <t>Normetanefrina</t>
  </si>
  <si>
    <t>Bilirrubina</t>
  </si>
  <si>
    <t>Urina - Exame Fisico-Químico</t>
  </si>
  <si>
    <t>Urina - Proteínas</t>
  </si>
  <si>
    <t>Urina - Função Renal</t>
  </si>
  <si>
    <t>Urina - Bioquímica da Hipertensão</t>
  </si>
  <si>
    <t>Eritócitos</t>
  </si>
  <si>
    <t>Sangue - Hemograma-Eritograma</t>
  </si>
  <si>
    <t>Citometria de fluxo / Citoquímica</t>
  </si>
  <si>
    <t>Sangue - Hemograma-Leucograma</t>
  </si>
  <si>
    <t>Neutrófilos</t>
  </si>
  <si>
    <t>Eosinófilos</t>
  </si>
  <si>
    <t>Basófilos</t>
  </si>
  <si>
    <t>Linfócitos</t>
  </si>
  <si>
    <t>Monócitos</t>
  </si>
  <si>
    <t>Sangue - Hemograma-Trombocitograma</t>
  </si>
  <si>
    <t>Glicémia</t>
  </si>
  <si>
    <t>Sangue - Metabolismo dos Hidrátos de Carbono</t>
  </si>
  <si>
    <t>Sangue - Metabolismo Lípidico</t>
  </si>
  <si>
    <t>Colesterol oxidase-esterase</t>
  </si>
  <si>
    <t>Hexoquinase-Glicose-6-Fosfato Deshidrogenase</t>
  </si>
  <si>
    <t>Colesterol HDL</t>
  </si>
  <si>
    <t>Ensaio Enzimático Colorimétrico Homogéneo Directo</t>
  </si>
  <si>
    <t>Glicerol Fosfato Oxidase Peroxidase</t>
  </si>
  <si>
    <t>Sangue - Metabolismo Purínico</t>
  </si>
  <si>
    <t>Uricémia</t>
  </si>
  <si>
    <t>Cinético Urease</t>
  </si>
  <si>
    <t>Sangue - Função Renal</t>
  </si>
  <si>
    <t>Sangue - Equilíbrio Hidroelectrolítico-Ionograma Sérico</t>
  </si>
  <si>
    <t>Natrémia</t>
  </si>
  <si>
    <t>Kaliémia</t>
  </si>
  <si>
    <t>Clorémia</t>
  </si>
  <si>
    <t>Potenciometria Indirecta</t>
  </si>
  <si>
    <t>Sangue - Eixo Hipósito-Tiroideu</t>
  </si>
  <si>
    <t>Quimioluminescência</t>
  </si>
  <si>
    <t>Fotometria de Reflectância</t>
  </si>
  <si>
    <t>H.G.M. - Hemoglobina Globular Media</t>
  </si>
  <si>
    <t>C.M.H.G. - Conc.Hemoglobínica Glob.Med.</t>
  </si>
  <si>
    <t>Neutrófilos %</t>
  </si>
  <si>
    <t>Eosinófilos %</t>
  </si>
  <si>
    <t>Basófilos %</t>
  </si>
  <si>
    <t>Linfócitos %</t>
  </si>
  <si>
    <t>Monócitos %</t>
  </si>
  <si>
    <t>Plaquetas - Número</t>
  </si>
  <si>
    <t>Plaquetas - Volume Plaquetário Médio</t>
  </si>
  <si>
    <t>Ureia</t>
  </si>
  <si>
    <t>Espectrofotometria - Urease GLDH</t>
  </si>
  <si>
    <t>Calcio</t>
  </si>
  <si>
    <t>Espectrofotometria - Arsenazo III</t>
  </si>
  <si>
    <t>Magnésio</t>
  </si>
  <si>
    <t>Espectrofotometria - azul xylidyl</t>
  </si>
  <si>
    <t>CK Total (Actividade Enzimática)</t>
  </si>
  <si>
    <t>Espectrofotometria - IFCC modificado</t>
  </si>
  <si>
    <t>Imunoensaio Quantitativo de Quimioluminescência</t>
  </si>
  <si>
    <t>Menezes Nogueira</t>
  </si>
  <si>
    <t>Maria Helena torres</t>
  </si>
  <si>
    <t>Colesterol VLDL (Calculado)</t>
  </si>
  <si>
    <t>Colesterol da Fracção LDL (Calculado)</t>
  </si>
  <si>
    <t>Hospital da Arrábida</t>
  </si>
  <si>
    <t>Tempo de Cefalina - Caolino</t>
  </si>
  <si>
    <t>Sangue - Estudo da Coagulação</t>
  </si>
  <si>
    <t>Tempo de Protombina</t>
  </si>
  <si>
    <t>Taxa de Protombina</t>
  </si>
  <si>
    <t>Bilirrubina Direta</t>
  </si>
  <si>
    <t>Bilirrubina Total</t>
  </si>
  <si>
    <t>Fosforo</t>
  </si>
  <si>
    <t>Fosfatase Alcalina</t>
  </si>
  <si>
    <t>Hemoglobina Glicosilada</t>
  </si>
  <si>
    <t>Sangue-Marcadores Tumorais</t>
  </si>
  <si>
    <t>Antigénio Carcinoembrionário (CEA)</t>
  </si>
  <si>
    <t>Sangue-Marcadores de Hepatite</t>
  </si>
  <si>
    <t>Antigénio HBS</t>
  </si>
  <si>
    <t>Anticorpos Anti-HCV (Hepatite C)</t>
  </si>
  <si>
    <t>Anticorpos Anti-ABS (Hepatite B)</t>
  </si>
  <si>
    <t>Sangue - Imunologia/Serologia</t>
  </si>
  <si>
    <t>Proteína C-Reativa</t>
  </si>
  <si>
    <t>Anticorpos Anti-HIV I/II</t>
  </si>
  <si>
    <t>VDRL (Sífilis)</t>
  </si>
  <si>
    <t>Sangue - Electroforese das Proteínas</t>
  </si>
  <si>
    <t>Albumína</t>
  </si>
  <si>
    <t>Globulína Alfa 1</t>
  </si>
  <si>
    <t>Globulína Alfa 2</t>
  </si>
  <si>
    <t>Globulína Beta</t>
  </si>
  <si>
    <t>Globulína Gama</t>
  </si>
  <si>
    <t>Proteínas Totais</t>
  </si>
  <si>
    <t>Relação Albumina Globalina</t>
  </si>
  <si>
    <t>Anticorpos Anti-HAV (Hepatite A)</t>
  </si>
  <si>
    <t>Positivo</t>
  </si>
  <si>
    <t>Antigénio HBS (Hepatite B)</t>
  </si>
  <si>
    <t>Anticorpos HBC Total (Hepatite B)</t>
  </si>
  <si>
    <t>TSH - Tireoestimulina (TSH)</t>
  </si>
  <si>
    <t>TSH-Hormona Tirostimulante</t>
  </si>
  <si>
    <t>Quimioluminescência (CLIA)</t>
  </si>
  <si>
    <t>Hematócito (Ht/Hct) - Volume Globular</t>
  </si>
  <si>
    <t>VGM/VCM - Volume Globular/Corpuscular Médio</t>
  </si>
  <si>
    <t>R.D.W. (Variação do tamanho dos eritrócitos)</t>
  </si>
  <si>
    <t>Desidrogenase Láctea</t>
  </si>
  <si>
    <t>Espectofotometria - Enzimático (Lactato/Piruvato)</t>
  </si>
  <si>
    <t>Desidrogenase Láctea (LDH/LACTATO DESIDROGENASE)</t>
  </si>
  <si>
    <t>Espectrofotometria-Oxidação de Vanadato</t>
  </si>
  <si>
    <t>Tiroide</t>
  </si>
  <si>
    <t>T4</t>
  </si>
  <si>
    <t>1. TSH alto</t>
  </si>
  <si>
    <t>O TSH alto pode indicar que a tireoide está produzindo menos hormônios tireoidianos ou estar relacionado a alguma disfunção da glândula hipófise no cérebro.</t>
  </si>
  <si>
    <t>As principais condições que podem causar TSH alto no exame são:</t>
  </si>
  <si>
    <t>Hipotireoidismo: o TSH pode estar alto devido a uma tentativa da glândula hipófise estimular a produção de hormônios da tireoide, quando estão baixos, sendo que geralmente nessa condição o TSH alto e o T4 baixo. No entanto, no hipotireoidismo subclínico TSH está alto, mas o T4 está dentro do normal. Saiba o que é o T4; </t>
  </si>
  <si>
    <r>
      <t>Uso de remédios:</t>
    </r>
    <r>
      <rPr>
        <sz val="8"/>
        <color rgb="FF3D3D3D"/>
        <rFont val="Arial"/>
        <family val="2"/>
      </rPr>
      <t> o uso de baixas doses de medicamentos contra o hipotireoidismo, como a levotiroxina, ou outros remédios, como propranolol, furosemida, lítio e medicamentos com iodo, podem aumentar a concentração de TSH no sangue;</t>
    </r>
  </si>
  <si>
    <r>
      <t>Tumor na hipófise:</t>
    </r>
    <r>
      <rPr>
        <sz val="8"/>
        <color rgb="FF3D3D3D"/>
        <rFont val="Arial"/>
        <family val="2"/>
      </rPr>
      <t> também pode causar o aumento do TSH. </t>
    </r>
  </si>
  <si>
    <t>Os sintomas relacionados ao TSH alto são os típicos do hipotireoidismo, como cansaço, aumento de peso, prisão de ventre, sensação de frio, aumento de pêlos na face, pele seca, cabelos e unhas frágeis e quebradiças. Saiba identificar os sintomas de hipotireoidismo.   </t>
  </si>
  <si>
    <t>Leia também: TSH alto: sintomas, causas (e o que fazer)tuasaude.com/tsh-alto</t>
  </si>
  <si>
    <t>2. TSH baixo</t>
  </si>
  <si>
    <t>O TSH baixo pode indicar que a tireoide está produzindo mais hormônios tireoidianos ou estar relacionada com alterações na hipófise.</t>
  </si>
  <si>
    <t>As principais condições que podem causar TSH baixo são:</t>
  </si>
  <si>
    <t>Hipertireoidismo: o TSH baixo normalmente indica que a tireoide está produzindo T3 e T4 de forma excessiva, e por isso a hipófise diminui a liberação do TSH para tentar regular a função da tireoide. Entenda o que é o T3;  </t>
  </si>
  <si>
    <r>
      <t>Uso de medicamentos:</t>
    </r>
    <r>
      <rPr>
        <sz val="8"/>
        <color rgb="FF3D3D3D"/>
        <rFont val="Arial"/>
        <family val="2"/>
      </rPr>
      <t> quando a dose da levotiroxina para o hipotireoidismo está alta demais, os valores do TSH ficam abaixo do ideal. Outros remédios que podem causar TSH baixo são: AAS, corticoides, agonistas dopaminérgicos, fenclofenaco, heparina, metformina, nifedipina ou piridoxina, por exemplo. </t>
    </r>
  </si>
  <si>
    <r>
      <t>Tumor na hipófise:</t>
    </r>
    <r>
      <rPr>
        <sz val="8"/>
        <color rgb="FF3D3D3D"/>
        <rFont val="Arial"/>
        <family val="2"/>
      </rPr>
      <t> também pode levar ao TSH baixo.</t>
    </r>
  </si>
  <si>
    <t>Os sintomas relacionados ao TSH baixo são os típicos do hipertireoidismo, como agitação, palpitação cardíaca, insônia, perda de peso, nervosismo, tremores e diminuição da massa muscular.</t>
  </si>
  <si>
    <t>Leia também: TSH baixo: sintomas, causas e tratamentotuasaude.com/tsh-baixo</t>
  </si>
  <si>
    <t>Nesse caso, é normal o TSH estar baixo, e o T4 alto, mas se o T4 ainda estiver entre 01 e 04 μUI/mL, isso pode indicar hipertireoidismo subclínico.  </t>
  </si>
  <si>
    <t>Já o TSH baixo e T4 baixo, pode indicar anorexia nervosa, por exemplo, mas em todo caso o diagnóstico é dado pelo médico que solicitou o exame. Saiba mais sobre o tratamento do hipertireoidismo.</t>
  </si>
  <si>
    <t>Exame TSH: para que serve (e porque está alto ou baixo)</t>
  </si>
  <si>
    <t>Revisão clínica: Marcela Lemos Biomédica</t>
  </si>
  <si>
    <t>Para que serve</t>
  </si>
  <si>
    <t>Quando fazer o exame</t>
  </si>
  <si>
    <t>Como é feito</t>
  </si>
  <si>
    <t>Valores de referência</t>
  </si>
  <si>
    <t>O exame TSH serve para avaliar a função da tireoide e normalmente é solicitado pelo médico quando existe suspeita de alterações na tireoide, como hipotireoidismo ou hipertireoidismo, por exemplo.</t>
  </si>
  <si>
    <t>O TSH é um hormônio produzido pela glândula hipófise no cérebro e tem como função estimular a tireoide a produzir seus hormônios, a triiodotironina (T3) e a tetraiodotironina (T4). Assim, quando há alteração no exame de TSH, normalmente os exames de T3 e T4 também podem estar alterados.</t>
  </si>
  <si>
    <t>O resultado do exame TSH deve ser interpretado pelo endocrinologista, juntamente com outros exames que avaliam a função da tireoide, e assim, identificar possíveis doenças e indicar o tratamento mais adequado. Veja quais são os exames essenciais para avaliar a tireoide.  </t>
  </si>
  <si>
    <t>O exame TSH é indicado para auxiliar no diagnóstico de:</t>
  </si>
  <si>
    <t>Hipotireoidismo primário, congênito, clínico ou subclínico;</t>
  </si>
  <si>
    <t>Hipertireoidismo clínico, subclínico ou central;</t>
  </si>
  <si>
    <t>Doença de Graves;</t>
  </si>
  <si>
    <t>Tireoidite de Hashimoto;</t>
  </si>
  <si>
    <t>Câncer na tireoide;</t>
  </si>
  <si>
    <t>Nódulo ou cisto na tireoide;</t>
  </si>
  <si>
    <t>Tumor na glândula hipófise ou adenoma pituitário.</t>
  </si>
  <si>
    <t>Além disso, o exame TSH também pode ser solicitado para acompanhar a eficácia do tratamento de doenças da tireoide.</t>
  </si>
  <si>
    <t>Se deseja o acompanhamento de um endocrinologista, marque uma consulta na região mais próxima:</t>
  </si>
  <si>
    <t>Cuidar da sua saúde nunca foi tão fácil!</t>
  </si>
  <si>
    <r>
      <t>Marque uma consulta com nossos </t>
    </r>
    <r>
      <rPr>
        <b/>
        <sz val="8"/>
        <color rgb="FF3D3D3D"/>
        <rFont val="Arial"/>
        <family val="2"/>
      </rPr>
      <t>Endocrinologistas</t>
    </r>
    <r>
      <rPr>
        <sz val="8"/>
        <color rgb="FF3D3D3D"/>
        <rFont val="Arial"/>
        <family val="2"/>
      </rPr>
      <t> e receba o cuidado personalizado que você merece.</t>
    </r>
  </si>
  <si>
    <t>Parceria comagende sua consulta online</t>
  </si>
  <si>
    <t>Disponível em: São Paulo, Rio de Janeiro, Distrito Federal, Pernambuco, Bahia, Maranhão, Pará, Paraná, Sergipe e Ceará.</t>
  </si>
  <si>
    <t>O exame TSH é normalmente é pedido quando surgem sintomas que podem indicar problemas na tireoide, como alteração do peso, bócio, pele seca, batimentos cardíacos acelerados, cansaço ou tremor nas mãos. Confira os principais sintomas de problemas na tireoide.  </t>
  </si>
  <si>
    <t>Além do TSH, o médico deve solicitar outros exames que avaliam a tireoide, como T3 e T4, dosagem de anticorpos como o anti-TRAB, anti-tireoglobulina e anti-TPO no sangue. No caso de suspeita de lesões malignas na tireoide, o médico pode ainda solicitar uma biópsia, chamada Punção Aspirativa com Agulha Fina (PAAF). Saiba como é feito o exame PAAF. </t>
  </si>
  <si>
    <t>Qual é a função do TSH no corpo?</t>
  </si>
  <si>
    <t>O hormônio tireoestimulante (TSH) tem como função estimular a tireoide a produzir seus hormônios, o T3 e o T4, que são responsáveis por manter o bom funcionamento do coração, cérebro, fígado, intestinos e rins. Além disso, os hormônios tireoidianos também regulam o metabolismo e a temperatura corporal e influenciam no crescimento, ciclo menstrual, fertilidade, peso e estado emocional.</t>
  </si>
  <si>
    <t>Desta forma, quando os valores de TSH se encontra aumentado no sangue, significa que a concentração de T3 e T4 no sangue está baixa. Já quando se encontra em baixas concentrações, T3 e T4 estão presentes em altas concentrações no sangue. </t>
  </si>
  <si>
    <t>Como se preparar para o exame</t>
  </si>
  <si>
    <t>Para realizar o exame TSH não é necessário realizar jejum, mas alguns laboratórios podem recomendar o jejum de 4 horas, sendo importante consultar as recomendações do laboratório.</t>
  </si>
  <si>
    <t>O melhor horário para fazer esse exame é pela manhã, já que a concentração de TSH no sangue varia ao longo do dia. Além disso, é importante informar ao médico e ao laboratório sobre o uso de remédios que podem interferir nos resultados, como lítio, amiodarona, iodeto de potássio, corticoides ou biotina.</t>
  </si>
  <si>
    <t>O exame TSH é simples, feito no laboratório retirando uma amostra de sangue que é encaminhada para laboratório para análise.</t>
  </si>
  <si>
    <t>O que é TSH ultra sensível</t>
  </si>
  <si>
    <t>O exame TSH ultra sensível é um método de diagnóstico mais avançado que consegue detectar quantidades mínimas de TSH no sangue, que o exame normal não seria capaz de identificar. O método de diagnostico utilizado nos laboratórios é bastante sensível e específico, sendo o exame de TSH ultra sensível normalmente utilizado na rotina.</t>
  </si>
  <si>
    <t>Leia também: TSH ultra sensível: para que serve, valores (e porque está alto ou baixo)tuasaude.com/tsh-ultra-sensivel</t>
  </si>
  <si>
    <t>Valores de referência do TSH</t>
  </si>
  <si>
    <t>Os valores de referência do TSH variam de acordo com a idade da pessoa e com o laboratório em que o exame é realizado, sendo normalmente:</t>
  </si>
  <si>
    <t>Idade</t>
  </si>
  <si>
    <t>Valores normais mUI/l (μUI/mL)</t>
  </si>
  <si>
    <t>1ª semana de vida</t>
  </si>
  <si>
    <t>até 15 </t>
  </si>
  <si>
    <t>2ª semana até 11 meses</t>
  </si>
  <si>
    <t>0,8 a 6,3</t>
  </si>
  <si>
    <t>1 a 5 anos</t>
  </si>
  <si>
    <t>0,7 a 6,0 </t>
  </si>
  <si>
    <t>6 a 10 anos</t>
  </si>
  <si>
    <t>0,6 a 5,4</t>
  </si>
  <si>
    <t>11 a 15 anos</t>
  </si>
  <si>
    <t>0,5 a 4,9</t>
  </si>
  <si>
    <t>16 a 20 anos</t>
  </si>
  <si>
    <t>0,5 – 4,4 </t>
  </si>
  <si>
    <t>Adultos (+ 18 anos)</t>
  </si>
  <si>
    <t>0,3 – 4,5</t>
  </si>
  <si>
    <t>Idosos</t>
  </si>
  <si>
    <t>0,40 a 5,8</t>
  </si>
  <si>
    <t>Esses valores podem variar de acordo com o laboratório, e por isso, os resultados devem sempre ser avaliados pelo endocrinologista.</t>
  </si>
  <si>
    <t>Valores de referência na gravidez</t>
  </si>
  <si>
    <t>Na gravidez, os valores de referência do TSH são diferentes, sendo considerados valores normais:</t>
  </si>
  <si>
    <t>Na gravidez</t>
  </si>
  <si>
    <t>Valores normais mU/L (μUI/mL)</t>
  </si>
  <si>
    <t>1º trimestre</t>
  </si>
  <si>
    <t>0,1 a 2,5 </t>
  </si>
  <si>
    <t>2º trimestre</t>
  </si>
  <si>
    <t>0,2 a 3,0 </t>
  </si>
  <si>
    <t>3º trimestre</t>
  </si>
  <si>
    <t>0,3 a 3,0 </t>
  </si>
  <si>
    <t>Normalmente durante a gravidez, o hormônio TSH encontra-se mais baixo e o T4 pode estar elevado, devido à estimulação da tireoide pelo beta-HCG.</t>
  </si>
  <si>
    <t>Desta forma, o resultado do exame TSH deve ser interpretado pelo obstetra ou endocrinologista, junto com outros exames que avaliam a tireoide.</t>
  </si>
  <si>
    <t>Como entender os resultados</t>
  </si>
  <si>
    <t>Os resultados do TSH devem ser interpretados pelo endocrinologista, juntamente com outros exames solicitados.</t>
  </si>
  <si>
    <t>T3</t>
  </si>
  <si>
    <t>Triiodotironina T3 Livre</t>
  </si>
  <si>
    <t>Exame T3: para que serve e como entender os resultados</t>
  </si>
  <si>
    <t>Atualizado em dezembro 2023</t>
  </si>
  <si>
    <t>Valor de referência</t>
  </si>
  <si>
    <t>Resultado</t>
  </si>
  <si>
    <t>O que é:</t>
  </si>
  <si>
    <t>O exame T3 é solicitado pelo médico após resultados alterados do TSH ou do hormônio T4 ou quando a pessoa apresenta sinais e sintomas de hipertireoidismo, como nervosismo, perda de peso, irritabilidade e náuseas, por exemplo.</t>
  </si>
  <si>
    <t>O hormônio TSH é responsável pelo estímulo da produção de T4, principalmente, que é metabolizada no fígado com o objetivo de dar origem à sua forma mais ativa, o T3. Apesar da maior parte de T3 ser derivada do T4, a tireoide também produz esse hormônio, mas em menores quantidades.</t>
  </si>
  <si>
    <t>Não é necessário ficar em jejum para realizar o exame, no entanto, alguns medicamentos podem interferir no resultado do exame, como remédios para tireoide e anticoncepcionais, por exemplo. Por isso, é importante comunicar ao médico para que possa ser dada orientação em relação à suspensão segura do medicamento para realizar o exame.</t>
  </si>
  <si>
    <t>O exame T3 é solicitado quando os resultados do exame de TSH e T4 estão alterados ou quando a pessoa apresenta sintomas de hipertireoidismo. Por ser um hormônio que normalmente é encontrado em baixas concentrações no sangue, a dosagem somente de T3 não é muito utilizada para avaliar a função da tireoide, sendo normalmente solicitada quando há confirmação do diagnóstico de alteração da tireoide ou juntamente com o TSH e o T4. Conheça outros exames que avaliam a tireoide.</t>
  </si>
  <si>
    <t>Além de ser útil para auxiliar o diagnóstico do hipertireoidismo, o exame T3 também pode ser solicitado para ajudar a identificar a causa do hipertireoidismo, como a doença de Graves, por exemplo, sendo normalmente solicitada juntamente com a dosagem de auto-anticorpos tireoidianos.</t>
  </si>
  <si>
    <t>O exame T3 é feito a partir da avaliação de uma amostra de sangue, que é analisada no laboratório. Na avaliação, podem ser verificadas as concentrações de T3 total e T3 livre, que corresponde ao T3 ligado a proteínas, o que representa cerca de 0,3% da T3 total.</t>
  </si>
  <si>
    <t>Para fazer esse exame não é necessário realizar jejum, no entanto é importante indicar se está sendo utilizado algum medicamento, uma vez que pode interferir no resultado.</t>
  </si>
  <si>
    <r>
      <t>O valor de referência de </t>
    </r>
    <r>
      <rPr>
        <b/>
        <sz val="8"/>
        <color rgb="FF3D3D3D"/>
        <rFont val="Arial"/>
        <family val="2"/>
      </rPr>
      <t>T3 total</t>
    </r>
    <r>
      <rPr>
        <sz val="8"/>
        <color rgb="FF3D3D3D"/>
        <rFont val="Arial"/>
        <family val="2"/>
      </rPr>
      <t> é </t>
    </r>
    <r>
      <rPr>
        <b/>
        <sz val="8"/>
        <color rgb="FF3D3D3D"/>
        <rFont val="Arial"/>
        <family val="2"/>
      </rPr>
      <t>entre 80 e 180 ng/d</t>
    </r>
    <r>
      <rPr>
        <sz val="8"/>
        <color rgb="FF3D3D3D"/>
        <rFont val="Arial"/>
        <family val="2"/>
      </rPr>
      <t>L e de </t>
    </r>
    <r>
      <rPr>
        <b/>
        <sz val="8"/>
        <color rgb="FF3D3D3D"/>
        <rFont val="Arial"/>
        <family val="2"/>
      </rPr>
      <t>T3 livre é entre 2,5 - 4,0 ng/dL, </t>
    </r>
    <r>
      <rPr>
        <sz val="8"/>
        <color rgb="FF3D3D3D"/>
        <rFont val="Arial"/>
        <family val="2"/>
      </rPr>
      <t>podendo variar de acordo com o laboratório.</t>
    </r>
  </si>
  <si>
    <t>Como entender o resultado</t>
  </si>
  <si>
    <t>Os valores de T3 variam de acordo com a saúde da pessoa, podendo estar aumentado, diminuído ou normal:</t>
  </si>
  <si>
    <r>
      <t>T3 alto:</t>
    </r>
    <r>
      <rPr>
        <sz val="8"/>
        <color rgb="FF3D3D3D"/>
        <rFont val="Arial"/>
        <family val="2"/>
      </rPr>
      <t> Normalmente confirma o diagnóstico de hipertireoidismo, sendo indicativo de doença de Graves, principalmente;</t>
    </r>
  </si>
  <si>
    <r>
      <t>T3 baixo:</t>
    </r>
    <r>
      <rPr>
        <sz val="8"/>
        <color rgb="FF3D3D3D"/>
        <rFont val="Arial"/>
        <family val="2"/>
      </rPr>
      <t> Pode indicar tireoidite de Hashimoto, hipotireoidismo neonatal ou hipotireoidismo secundário, sendo necessário a realização de exames complementares para confirmar o diagnóstico.</t>
    </r>
  </si>
  <si>
    <t>O resultado do exame T3, assim como o do T4 e o TSH, só indicam que há alguma alteração na produção dos hormônios pela tireoide, não sendo possível determinar qual a causa dessa disfunção. Por isso, o médico pode solicitar exames mais específicos para identificar a causa do hipo ou hipertireoidismo, como hemograma, exames imunológicos e de imagem.</t>
  </si>
  <si>
    <t>O que é o T3 reverso?</t>
  </si>
  <si>
    <t>O T3 reverso é a forma inativa do hormônio derivada da conversão do T4. A dosagem de T3 reverso é pouco solicitada, sendo indicada apenas para pacientes com doenças graves envolvendo a tireoide, sendo detectado níveis diminuídos de T3 e T4, mas elevados de T3 reverso. Além disso, o T3 reverso pode estar elevado em situações de estresse crônico, infecção pelo vírus HIV e na insuficiência renal.</t>
  </si>
  <si>
    <r>
      <t>O valor de referência da T3 reversa para </t>
    </r>
    <r>
      <rPr>
        <b/>
        <sz val="8"/>
        <color rgb="FF3D3D3D"/>
        <rFont val="Arial"/>
        <family val="2"/>
      </rPr>
      <t>recém-nascidos é entre 600 e 2500 ng/mL</t>
    </r>
    <r>
      <rPr>
        <sz val="8"/>
        <color rgb="FF3D3D3D"/>
        <rFont val="Arial"/>
        <family val="2"/>
      </rPr>
      <t> e </t>
    </r>
    <r>
      <rPr>
        <b/>
        <sz val="8"/>
        <color rgb="FF3D3D3D"/>
        <rFont val="Arial"/>
        <family val="2"/>
      </rPr>
      <t>a partir do 7ª dia de vida, entre 90 e 350 ng/mL</t>
    </r>
    <r>
      <rPr>
        <sz val="8"/>
        <color rgb="FF3D3D3D"/>
        <rFont val="Arial"/>
        <family val="2"/>
      </rPr>
      <t>, podendo variar entre laboratórios.</t>
    </r>
  </si>
  <si>
    <t>Triiodotironina T3 Total 1.0 ng</t>
  </si>
  <si>
    <t>Triiodotironina T3 Total</t>
  </si>
  <si>
    <t>T4 livre e total: o que são e para que servem e valores</t>
  </si>
  <si>
    <t>O T4 é um hormônio produzido pela tireoide que é responsável por auxiliar o metabolismo, fornecendo a energia necessária para o funcionamento correto do organismo. O T4 encontra-se quase totalmente conjugado a proteínas para que possa ser transportado na corrente sanguínea para vários órgãos e possa exercer sua função.</t>
  </si>
  <si>
    <t>O T4 livre corresponde à concentração de T4 que não está ligada a proteínas, exercendo sua função no corpo. Enquanto que o T4 total corresponde à concentração do T4 ligado e não ligado a proteínas.</t>
  </si>
  <si>
    <t>Esse exame pode ser recomendado pelo médico em exames de rotina, mas é mais indicada a sua realização quando a pessoa apresenta sintomas de hipo ou hipertireoidismo, por exemplo, ou quando há resultado alterado do TSH. Veja para que serve o exame TSH e os valores de referência.</t>
  </si>
  <si>
    <t>O T4 é um hormônio muito importante para o metabolismo e, por isso, a sua dosagem é feita com o objetivo de avaliar se a tireoide produz quantidade normal e suficiente de hormônios para fornecer energia para as atividades metabólicas do organismo.</t>
  </si>
  <si>
    <t>Menos de 1% do T4 se encontra na forma livre, e é essa forma que é metabolicamente ativa, ou seja, que possui função. O T4 ligado a proteínas não possui atividade, é apenas transportado na corrente sanguínea para os órgãos, e quando necessário, é separado da proteína para ter atividade.</t>
  </si>
  <si>
    <t>O T4 total corresponde à quantidade total de hormônio produzido, sendo avaliado tanto a quantidade que está conjugada a proteínas quanto a que está livre circulante no sangue. No entanto, a dosagem de T4 total pode ser um pouco inespecífica, pois pode haver interferência com as proteínas que o hormônio pode se ligar. </t>
  </si>
  <si>
    <t>O T4 livre, por outro lado, já é mais específico, sensível e permite avaliar melhor a tireoide, pois é dosada somente a quantidade de hormônio que está funcional e ativa no organismo</t>
  </si>
  <si>
    <t>Como é feito o exame</t>
  </si>
  <si>
    <t>O exame é feito com uma amostra de sangue e não é necessário qualquer preparo antes de realizá-lo. No entanto, caso a pessoa esteja fazendo uso de algum medicamento que interfira na tireoide, deve comunicar ao médico para que isso seja levado em consideração na hora da análise.</t>
  </si>
  <si>
    <r>
      <t>Os valores normais de </t>
    </r>
    <r>
      <rPr>
        <b/>
        <sz val="8"/>
        <color rgb="FF3D3D3D"/>
        <rFont val="Arial"/>
        <family val="2"/>
      </rPr>
      <t>T4 livre</t>
    </r>
    <r>
      <rPr>
        <sz val="8"/>
        <color rgb="FF3D3D3D"/>
        <rFont val="Arial"/>
        <family val="2"/>
      </rPr>
      <t> são entre </t>
    </r>
    <r>
      <rPr>
        <b/>
        <sz val="8"/>
        <color rgb="FF3D3D3D"/>
        <rFont val="Arial"/>
        <family val="2"/>
      </rPr>
      <t>0,9 - 1,8 ng/dL</t>
    </r>
    <r>
      <rPr>
        <sz val="8"/>
        <color rgb="FF3D3D3D"/>
        <rFont val="Arial"/>
        <family val="2"/>
      </rPr>
      <t>, enquanto que os valores normais de T4 total variam de acordo com a idade:</t>
    </r>
  </si>
  <si>
    <t>Valores normais de T4 total</t>
  </si>
  <si>
    <t>15 µg/dL</t>
  </si>
  <si>
    <t>Até o 1º mês</t>
  </si>
  <si>
    <t>8,2 - 16,6 µg/dL</t>
  </si>
  <si>
    <t>Entre 1 e 12 meses de vida</t>
  </si>
  <si>
    <t>7,2 - 15,6 µg/dL</t>
  </si>
  <si>
    <t>Entre 1 e 5 anos</t>
  </si>
  <si>
    <t>7,3 - 15 µg/dL</t>
  </si>
  <si>
    <t>Entre 5 e 12 anos</t>
  </si>
  <si>
    <t> 6,4 - 13,3 µg/dL</t>
  </si>
  <si>
    <t>A partir dos 12 anos</t>
  </si>
  <si>
    <t> 4,5 - 12,6 µg/dL</t>
  </si>
  <si>
    <t>Valores elevados ou diminuídos de T4 podem indicar hipo ou hipertireoidismo, câncer de tireoide, tireoidite, bócio e infertilidade feminina, por exemplo. Além disso, valores diminuídos de T4 livre podem indicar má nutrição ou tireoidite de Hashimoto, por exemplo, que é uma doença autoimune caracterizada pela inflamação da tireoide levando ao hipertireoidismo seguido de hipotireoidismo.</t>
  </si>
  <si>
    <t>Quando fazer</t>
  </si>
  <si>
    <t>O exame de T4 é normalmente solicitado pelo endocrinologista em situações como:</t>
  </si>
  <si>
    <t>Resultado alterado do exame de TSH;</t>
  </si>
  <si>
    <t>Fraqueza, diminuição do metabolismo e cansaço, podendo ser indicativo de hipotireoidismo;</t>
  </si>
  <si>
    <t>Nervosismo, aumento do metabolismo, aumento do apetite, podendo indicar hipertireoidismo;</t>
  </si>
  <si>
    <t>Suspeita de câncer de tireoide;</t>
  </si>
  <si>
    <t>Investigação causa da infertilidade feminina.</t>
  </si>
  <si>
    <t>A partir da avaliação dos resultados do exame e dos sintomas da pessoa, o endocrinologista pode definir o diagnóstico e a melhor forma de tratamento, normalizando, assim, os níveis de T4. Conheça outros exames essenciais para avaliar a tireoide.</t>
  </si>
  <si>
    <t>Tiroxina T4 Total</t>
  </si>
  <si>
    <t>Tiroxina T4 Livre</t>
  </si>
  <si>
    <t>anticorpo antiperoxidase (anti-TPO)</t>
  </si>
  <si>
    <t>anticorpo anti-tireoglobulina (anti-tg)</t>
  </si>
  <si>
    <t>anticorpo anti-receptor de TSH (anti-TRAB)</t>
  </si>
  <si>
    <t>Ultrassonografia da tireoide</t>
  </si>
  <si>
    <t>Cintilografia da tireoide</t>
  </si>
  <si>
    <t>Biópsia da tireoide</t>
  </si>
  <si>
    <t>Autoexame da tireoide</t>
  </si>
  <si>
    <t>O T3 e T4 são hormônios produzidos pela tireoide e a dosagem dos seus níveis no sangue é útil para verificar o funcionamento da glândula, que pode estar alterado em caso de doenças como hipo ou hipertireoidismo.
Estes hormônios agem no organismo regulando o gasto de energia e estimulando o metabolismo das células, por exemplo.</t>
  </si>
  <si>
    <t xml:space="preserve">O TSH é um hormônio produzido pela hipófise, uma glândula localizada no cérebro, que regula o funcionamento da tireoide, estimulando a produção de outros hormônios, como o T3 e T4.
Este hormônio pode ser medido no sangue e seus níveis geralmente estão alterados em caso hipo ou hipertireoidismo, uso de alguns medicamentos e tumores, por exemplo. </t>
  </si>
  <si>
    <t xml:space="preserve">A presença do anticorpo antiperoxidase (anti-TPO) no sangue pode afetar o funcionamento da tireoide e indicar doenças autoimunes, como tireoidite de Hashimoto e doença de Graves, especialmente quando seus níveis são altos. </t>
  </si>
  <si>
    <t>O anticorpo anti-tireoglobulina (anti-Tg) pode estar presente no sangue em algumas pessoas, especialmente em caso de doenças autoimunes da tireoide, como tireoidite de Hashimoto e doença de Graves. No entanto, a sua presença no corpo nem sempre é considerada um problema, sendo importante que a sua concentração seja avaliada juntamente com o resultado de outros exames que avaliam a tireoide.</t>
  </si>
  <si>
    <t xml:space="preserve">O anticorpo anti-receptor de TSH (anti-TRAB) é um anticorpo que pode estimular o funcionamento da tireoide e a sua dosagem no sangue é especialmente indicada para confirmar o diagnóstico da doença de Graves. </t>
  </si>
  <si>
    <t>A ultrassonografia da tireoide é feita para avaliar o tamanho da glândula e identificar alterações como cistos, tumores ou nódulos. Embora este exame não seja capaz de identificar lesões malignas, é útil para verificar as características da tireoide e auxiliar na punção de nódulos ou cistos para confirmar o diagnóstico.</t>
  </si>
  <si>
    <t xml:space="preserve">A cintilografia da tireoide é um exame em que uma pequena quantidade de iodo radioativo é tomada ou injetada diretamente na veia e, em seguida, é utilizado um aparelho especial para detectar sua absorção pela tireoide. Este exame pode ser indicado para avaliar nódulos na glândula e em caso de suspeita de câncer ou inflamação da tireoide, por exemplo. </t>
  </si>
  <si>
    <t xml:space="preserve"> biópsia da tireoide normalmente é indicada para avaliar nódulos na tireoide e pode ser feita por meia da punção aspirativa por agulha fina (PAAF), um exame em que o médico introduz uma agulha na glândula para retirar uma amostra do tecido ou líquido que forma o nódulo para análise. </t>
  </si>
  <si>
    <t>O autoexame da tireoide pode ser feito para identificar a presença de cistos ou nódulos na glândula, sendo importante para ajudar a detectar qualquer alteração de forma precoce e prevenir complicações de doenças. É principalmente indicado para mulheres com mais de 35 anos ou com histórico familiar de problemas na tireoide.</t>
  </si>
  <si>
    <t>Análises</t>
  </si>
  <si>
    <t>Exames</t>
  </si>
  <si>
    <t>Leucócitos /µL</t>
  </si>
  <si>
    <t>Bilirrubina Conjugada</t>
  </si>
  <si>
    <t>Dmin</t>
  </si>
  <si>
    <t>Dmax</t>
  </si>
  <si>
    <t>Normal</t>
  </si>
  <si>
    <t>NMin</t>
  </si>
  <si>
    <t>NMax</t>
  </si>
  <si>
    <t>Unidade</t>
  </si>
  <si>
    <t>%</t>
  </si>
  <si>
    <t>Anormal</t>
  </si>
  <si>
    <t>Sem Limites</t>
  </si>
  <si>
    <t>Positivo/Negativo</t>
  </si>
  <si>
    <t>Bilirrubina Conjugada / Direta</t>
  </si>
  <si>
    <t>Bilirrubina (total e frações): o que é, quando fazer e resultados</t>
  </si>
  <si>
    <t>Exame de bilirrubina</t>
  </si>
  <si>
    <t>Bilirrubina baixa</t>
  </si>
  <si>
    <t>A bilirrubina é uma substância produzida pelo fígado a partir da hemoglobina que é liberada após a destruição dos glóbulos vermelhos do sangue.</t>
  </si>
  <si>
    <t>A bilirrubina produzida é naturalmente eliminada pelas fezes e pela urina, no entanto a quantidade de bilirrubina circulante pode aumentar em caso de doenças como anemia hemolítica autoimune, hepatite ou pedra nas vias biliares, e uso de medicamentos, como alguns anti-inflamatórios e antibióticos.</t>
  </si>
  <si>
    <t>A bilirrubina alta pode ser identificada através de sintomas como pele e olhos amarelados e urina mais escura, devendo ser confirmada através do exame de bilirrubina, também conhecido como dosagem de bilirrubina total e frações. É importante que a causa da bilirrubina alta seja identificada pelo médico, pois assim é possível que o tratamento mais adequado seja iniciado.</t>
  </si>
  <si>
    <t>O exame de bilirrubina avalia os seguintes fatores:</t>
  </si>
  <si>
    <r>
      <t>Bilirrubina indireta</t>
    </r>
    <r>
      <rPr>
        <sz val="8"/>
        <color rgb="FF3D3D3D"/>
        <rFont val="Arial"/>
        <family val="2"/>
      </rPr>
      <t> ou não conjugada: é a bilirrubina que se forma no momento da destruição dos glóbulos vermelhos no sangue e que depois é transportada para o fígado;</t>
    </r>
  </si>
  <si>
    <r>
      <t>Bilirrubina direta</t>
    </r>
    <r>
      <rPr>
        <sz val="8"/>
        <color rgb="FF3D3D3D"/>
        <rFont val="Arial"/>
        <family val="2"/>
      </rPr>
      <t> ou conjugada: é a bilirrubina que é produzida no fígado a partir da bilirrubina indireta e está associada a um açúcar. Essa bilirrubina sofre ação direta da bile no intestino e é eliminada nas fezes e na urina;</t>
    </r>
  </si>
  <si>
    <r>
      <t>Bilirrubina total</t>
    </r>
    <r>
      <rPr>
        <sz val="8"/>
        <color rgb="FF3D3D3D"/>
        <rFont val="Arial"/>
        <family val="2"/>
      </rPr>
      <t>: é a quantidade total dos níveis de bilirrubina no sangue, correspondendo à soma da bilirrubina indireta e direta.</t>
    </r>
  </si>
  <si>
    <t>O exame de bilirrubina normalmente é indicado para avaliar o funcionamento do fígado e das vias biliares e quando se suspeita que existam doenças do sangue que estão causando a destruição dos glóbulos vermelhos. Conheça outros exames para avaliar o fígado.</t>
  </si>
  <si>
    <t>Preocupado com o resultado do seu exame?</t>
  </si>
  <si>
    <t>Estamos aqui para ajudar! Fale com os nossos profissionais e receba orientação especializada sobre o que fazer a seguir.</t>
  </si>
  <si>
    <t>Preparo para o exame</t>
  </si>
  <si>
    <t>De forma geral, não é necessário realizar qualquer preparo para o exame de bilirrubina, no entanto em alguns casos o laboratório ou o médico pode recomendar o jejum de 4 horas. É importante também informar ao laboratório sobre o uso de medicamentos, como propranolol ou rifampicina, já que podem interferir no resultado do exame.</t>
  </si>
  <si>
    <t>O valores de referência da bilirrubina no sangue são:</t>
  </si>
  <si>
    <t>Tipo de bilirrubina</t>
  </si>
  <si>
    <t>Valor normal</t>
  </si>
  <si>
    <t>Bilirrubina direta</t>
  </si>
  <si>
    <t>até 0,3 mg/dL</t>
  </si>
  <si>
    <t>Bilirrubina indireta</t>
  </si>
  <si>
    <t>até 0,8 mg/dL</t>
  </si>
  <si>
    <t>Bilirrubina total</t>
  </si>
  <si>
    <t>até 1,2 mg/dL</t>
  </si>
  <si>
    <t>Já no caso de recém-nascidos, os valores de bilirrubina considerados normais variam após o nascimento. Níveis mais elevados são comuns nos primeiros dias de vida, mas tendem a diminuir após o 5º dia de vida. Veja as causas da bilirrubina alta em recém nascidos e quando o tratamento é indicado.</t>
  </si>
  <si>
    <t>Sintomas de bilirrubina alta</t>
  </si>
  <si>
    <t>Os principais sintomas de bilirrubina alta são:</t>
  </si>
  <si>
    <t>Pele amarelada;</t>
  </si>
  <si>
    <t>Cor amarelada dos olhos;</t>
  </si>
  <si>
    <t>Urina escura, semelhante à coca-cola.</t>
  </si>
  <si>
    <t>Outros sintomas, como dor ou inchaço no abdome, fraqueza, fezes claras, náusea e vômitos, também podem surgir e indicar problemas no fígado, vias biliares ou mesmo alterações no sangue, por exemplo. Conheça os principais sintomas que podem indicar problemas no fígado.</t>
  </si>
  <si>
    <t>O que pode ser bilirrubina alta</t>
  </si>
  <si>
    <t>A bilirrubina alta no sangue normalmente acontece quando existe um aumento da produção de bilirrubina ou quando há dificuldade de eliminação da bilirrubina. Além disso, as causas tendem a variar de acordo com o tipo de bilirrubina afetada:</t>
  </si>
  <si>
    <t>Bilirrubina direta alta</t>
  </si>
  <si>
    <t>Quando a bilirrubina direta está alta pode indicar doenças que afetam a sua eliminação, como alguns tipos de hepatite, pedra nas vias biliares e colangite esclerosante primária. Além disso, a bilirrubina direta alta também pode ser causada por estreitamentos nos canais por onde a bile passa, devido a tumores ou cirurgias, por exemplo.</t>
  </si>
  <si>
    <t>O uso de alguns medicamentos, como paracetamol, antibióticos e anti-inflamatórios, especialmente quando usados sem orientação médica, também pode provocar aumento da bilirrubina direta em alguns casos.</t>
  </si>
  <si>
    <t>Bilirrubina indireta alta</t>
  </si>
  <si>
    <t>A bilirrubina indireta alta pode ser causada por doenças que provocam o aumento da destruição de glóbulos vermelhos no sangue, como anemia hemolítica autoimune, talassemia ou esferocitose, ou que são causadas por alterações genéticas que prejudicam a produção da bilirrubina direta, como a síndrome de Gilbert e a síndrome de Crigler-Najjar.</t>
  </si>
  <si>
    <t>Além disso, o uso de alguns medicamentos, como a rifampicina, gentamicina e a maioria dos antirretrovirais, hematomas grandes em partes do corpo e, algumas vezes, transfusões de sangue, também podem causar bilirrubina indireta alta.</t>
  </si>
  <si>
    <t>Bilirrubina total alta</t>
  </si>
  <si>
    <t>A bilirrubina total alta é causada pelo aumento da bilirrubina direta, indireta ou ambas. Assim, as causas variam e podem incluir o uso de medicamentos que podem prejudicar o fígado, hepatite, cirrose e doenças do sangue, por exemplo.</t>
  </si>
  <si>
    <t>A bilirrubina baixa normalmente não é considerada um problema. Pessoas saudáveis geralmente eliminam o excesso de bilirrubina do corpo, mantendo os seus níveis dentro dos valores de referência considerados normais.</t>
  </si>
  <si>
    <t>Monócitos: o que são, valor de referência e porque estão altos ou baixos</t>
  </si>
  <si>
    <t>Os monócitos são o maior tipo de leucócitos, um grupo de células do sistema imune que tem a função de defender o organismo contra invasores, como vírus e bactérias.</t>
  </si>
  <si>
    <t>Os monócitos são produzidos na medula óssea e ficam poucas horas circulantes no sangue, pois seguem para outros tecidos, onde sofrem processo de diferenciação, recebendo o nome de macrófago.</t>
  </si>
  <si>
    <t>O número de monócitos pode ser contabilizado no leucograma, que é uma das partes do hemograma, que indica a quantidade de células de defesa do organismo, indicando se está dentro dos valores normais, acima ou abaixo.</t>
  </si>
  <si>
    <t>O que significa monócitos altos</t>
  </si>
  <si>
    <t>O aumento no número de monócitos (monocitose), normalmente é indicativo de:</t>
  </si>
  <si>
    <t>Infecções crônicas, como tuberculose;</t>
  </si>
  <si>
    <t>Colite ulcerativa;</t>
  </si>
  <si>
    <t>Infecção por protozoários;</t>
  </si>
  <si>
    <t>Doença de Hodgkin;</t>
  </si>
  <si>
    <t>Leucemia mielomonocítica;</t>
  </si>
  <si>
    <t>Mieloma múltiplo;</t>
  </si>
  <si>
    <t>Doenças autoimunes, como lúpus e artrite reumatoide.</t>
  </si>
  <si>
    <t>O aumento dos monócitos normalmente não causa sintomas, sendo percebido apenas por meio do exame de sangue. No entanto, podem haver sintomas relacionados à causa da monocitose, devendo ser investigada e tratada de acordo com a recomendação do médico. Entenda o que é o hemograma e para que serve.</t>
  </si>
  <si>
    <t>O que significa monócitos baixos</t>
  </si>
  <si>
    <t>Quando os valores de monócitos estão baixos (monocitopenia), normalmente significa que o sistema imunológico está enfraquecido, como acontece em casos de infecções no sangue, tratamentos de quimioterapia e problemas na medula óssea, como anemia aplástica e leucemia. </t>
  </si>
  <si>
    <t>Além disso, casos de infecções na pele, uso de corticoides e infecção pelo HPV também podem causar diminuição do número de monócitos.</t>
  </si>
  <si>
    <t>É raro o aparecimento de valores próximos a 0 de monócitos no sangue e, quando ocorre, pode significar a presença da Síndrome de monoMAC, que é uma doença genética caracterizada pela ausência da produção de monócitos pela medula óssea. Nestes casos, o tratamento é feito com medicamentos para combater a infecção, como antibióticos, podendo ser necessário também fazer um transplante de medula para curar o problema genético.</t>
  </si>
  <si>
    <t>Os valores de referência de monócitos varia de acordo com o laboratório, mas deve corresponder a cerca de 2 a 10% do total de leucócitos no exame, isto é entre 200 e 1000 monócitos por microlitro (µl) de sangue.</t>
  </si>
  <si>
    <t>Em geral, alterações no número dessas células não causam sintomas no paciente, que sente apenas os sintomas da doença que provoca o aumento ou diminuição dos monócitos. Além disso, em alguns casos o paciente também só descobre que existe alguma alteração ao fazer um exame de sangue de rotina.</t>
  </si>
  <si>
    <t>Membro</t>
  </si>
  <si>
    <t>Hélder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</si>
</sst>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
    <numFmt numFmtId="166" formatCode="#,##0.000"/>
    <numFmt numFmtId="167" formatCode="yyyy\-mm\-dd;@"/>
  </numFmts>
  <fonts count="14" x14ac:knownFonts="1">
    <font>
      <sz val="11"/>
      <color theme="1"/>
      <name val="Calibri"/>
      <family val="2"/>
      <scheme val="minor"/>
    </font>
    <font>
      <b/>
      <sz val="11"/>
      <color theme="1"/>
      <name val="Calibri"/>
      <family val="2"/>
      <scheme val="minor"/>
    </font>
    <font>
      <sz val="11"/>
      <color theme="1"/>
      <name val="Calibri"/>
      <family val="2"/>
    </font>
    <font>
      <sz val="13.5"/>
      <color rgb="FF3D3D3D"/>
      <name val="Arial"/>
      <family val="2"/>
    </font>
    <font>
      <sz val="11"/>
      <color rgb="FF3D3D3D"/>
      <name val="Arial"/>
      <family val="2"/>
    </font>
    <font>
      <sz val="8"/>
      <color rgb="FF3D3D3D"/>
      <name val="Arial"/>
      <family val="2"/>
    </font>
    <font>
      <b/>
      <sz val="8"/>
      <color rgb="FF3D3D3D"/>
      <name val="Arial"/>
      <family val="2"/>
    </font>
    <font>
      <sz val="11"/>
      <color theme="1"/>
      <name val="Arial"/>
      <family val="2"/>
    </font>
    <font>
      <b/>
      <sz val="11"/>
      <color theme="1"/>
      <name val="Arial"/>
      <family val="2"/>
    </font>
    <font>
      <u/>
      <sz val="11"/>
      <color theme="10"/>
      <name val="Calibri"/>
      <family val="2"/>
      <scheme val="minor"/>
    </font>
    <font>
      <sz val="24"/>
      <color theme="1"/>
      <name val="Calibri"/>
      <family val="2"/>
      <scheme val="minor"/>
    </font>
    <font>
      <sz val="18"/>
      <color rgb="FF3D3D3D"/>
      <name val="Arial"/>
      <family val="2"/>
    </font>
    <font>
      <sz val="11"/>
      <color theme="1"/>
      <name val="Arial"/>
      <family val="2"/>
    </font>
    <font>
      <sz val="8"/>
      <name val="Calibri"/>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9" fillId="0" borderId="0" applyNumberFormat="0" applyFill="0" applyBorder="0" applyAlignment="0" applyProtection="0"/>
  </cellStyleXfs>
  <cellXfs count="65">
    <xf numFmtId="0" fontId="0" fillId="0" borderId="0" xfId="0"/>
    <xf numFmtId="0" fontId="0" fillId="0" borderId="0" xfId="0" applyAlignment="1">
      <alignment horizontal="center"/>
    </xf>
    <xf numFmtId="0" fontId="0" fillId="0" borderId="1" xfId="0" applyBorder="1"/>
    <xf numFmtId="0" fontId="0" fillId="0" borderId="1" xfId="0" applyBorder="1" applyAlignment="1">
      <alignment horizontal="center"/>
    </xf>
    <xf numFmtId="10" fontId="0" fillId="0" borderId="1" xfId="0" applyNumberFormat="1" applyBorder="1"/>
    <xf numFmtId="0" fontId="0" fillId="0" borderId="0" xfId="0" applyBorder="1"/>
    <xf numFmtId="0" fontId="0" fillId="0" borderId="0" xfId="0" applyBorder="1" applyAlignment="1">
      <alignment horizontal="center"/>
    </xf>
    <xf numFmtId="14" fontId="0" fillId="0" borderId="0" xfId="0" applyNumberFormat="1" applyBorder="1" applyAlignment="1">
      <alignment horizontal="center"/>
    </xf>
    <xf numFmtId="9" fontId="0" fillId="0" borderId="1" xfId="0" applyNumberFormat="1" applyBorder="1"/>
    <xf numFmtId="0" fontId="3" fillId="0" borderId="0" xfId="0" applyFont="1" applyAlignment="1">
      <alignment vertical="center" wrapText="1"/>
    </xf>
    <xf numFmtId="0" fontId="4" fillId="0" borderId="0" xfId="0" applyFont="1" applyAlignment="1">
      <alignment vertical="center" wrapText="1"/>
    </xf>
    <xf numFmtId="0" fontId="6" fillId="0" borderId="0" xfId="0" applyFont="1" applyAlignment="1">
      <alignment horizontal="left" vertical="center" wrapText="1" indent="1"/>
    </xf>
    <xf numFmtId="0" fontId="9" fillId="0" borderId="0" xfId="1" applyAlignment="1">
      <alignment vertical="center" wrapText="1"/>
    </xf>
    <xf numFmtId="0" fontId="10" fillId="0" borderId="0" xfId="0" applyFont="1" applyAlignment="1">
      <alignment vertical="center"/>
    </xf>
    <xf numFmtId="0" fontId="9" fillId="0" borderId="0" xfId="1" applyAlignment="1">
      <alignment vertical="center"/>
    </xf>
    <xf numFmtId="0" fontId="5" fillId="0" borderId="0" xfId="0" applyFont="1" applyAlignment="1">
      <alignment vertical="center" wrapText="1"/>
    </xf>
    <xf numFmtId="0" fontId="11" fillId="0" borderId="0" xfId="0" applyFont="1" applyAlignment="1">
      <alignment vertical="center" wrapText="1"/>
    </xf>
    <xf numFmtId="0" fontId="5" fillId="0" borderId="0" xfId="0" applyFont="1" applyAlignment="1">
      <alignment horizontal="left" vertical="center" wrapText="1" indent="1"/>
    </xf>
    <xf numFmtId="0" fontId="5" fillId="0" borderId="0" xfId="0" applyFont="1" applyAlignment="1">
      <alignment horizontal="left" vertical="center" wrapText="1" indent="3"/>
    </xf>
    <xf numFmtId="0" fontId="9" fillId="0" borderId="0" xfId="1" applyAlignment="1">
      <alignment horizontal="left" vertical="center" wrapText="1" indent="3"/>
    </xf>
    <xf numFmtId="0" fontId="12" fillId="0" borderId="0" xfId="0" applyFont="1" applyAlignment="1">
      <alignment horizontal="left" vertical="center" wrapText="1" indent="2"/>
    </xf>
    <xf numFmtId="0" fontId="7" fillId="0" borderId="0" xfId="0" applyFont="1" applyAlignment="1">
      <alignment horizontal="left" vertical="center" wrapText="1" indent="2"/>
    </xf>
    <xf numFmtId="0" fontId="0" fillId="0" borderId="0" xfId="0" applyFill="1" applyAlignment="1">
      <alignment wrapText="1"/>
    </xf>
    <xf numFmtId="0" fontId="6" fillId="0" borderId="0" xfId="0" applyFont="1" applyAlignment="1">
      <alignment horizontal="left" vertical="center" wrapText="1"/>
    </xf>
    <xf numFmtId="0" fontId="0" fillId="0" borderId="0" xfId="0" applyAlignment="1">
      <alignment wrapText="1"/>
    </xf>
    <xf numFmtId="0" fontId="10" fillId="0" borderId="0" xfId="0" applyFont="1" applyAlignment="1">
      <alignment vertical="center" wrapText="1"/>
    </xf>
    <xf numFmtId="0" fontId="5" fillId="0" borderId="0" xfId="0" applyFont="1" applyAlignment="1">
      <alignment horizontal="left" vertical="center" wrapText="1"/>
    </xf>
    <xf numFmtId="0" fontId="9" fillId="0" borderId="0" xfId="1" applyAlignment="1">
      <alignment horizontal="left" vertical="center" wrapText="1"/>
    </xf>
    <xf numFmtId="0" fontId="12" fillId="0" borderId="0" xfId="0" applyFont="1" applyAlignment="1">
      <alignment horizontal="left" vertical="center" wrapText="1"/>
    </xf>
    <xf numFmtId="0" fontId="8" fillId="0" borderId="0" xfId="0" applyFont="1" applyAlignment="1">
      <alignment horizontal="left" vertical="center" wrapText="1"/>
    </xf>
    <xf numFmtId="0" fontId="8" fillId="0" borderId="0" xfId="0" applyFont="1" applyAlignment="1">
      <alignment horizontal="left" vertical="top" wrapText="1" indent="2"/>
    </xf>
    <xf numFmtId="0" fontId="12" fillId="0" borderId="2" xfId="0" applyFont="1" applyBorder="1" applyAlignment="1">
      <alignment horizontal="left" vertical="center" wrapText="1" indent="2"/>
    </xf>
    <xf numFmtId="0" fontId="7" fillId="0" borderId="0" xfId="0" applyFont="1" applyAlignment="1">
      <alignment vertical="top" wrapText="1" indent="2"/>
    </xf>
    <xf numFmtId="0" fontId="0" fillId="0" borderId="3" xfId="0" applyBorder="1"/>
    <xf numFmtId="0" fontId="0" fillId="0" borderId="4" xfId="0" applyBorder="1"/>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0" fillId="0" borderId="8" xfId="0" applyBorder="1"/>
    <xf numFmtId="0" fontId="0" fillId="0" borderId="9" xfId="0" applyBorder="1"/>
    <xf numFmtId="0" fontId="0" fillId="0" borderId="9" xfId="0" applyBorder="1" applyAlignment="1">
      <alignment horizontal="center"/>
    </xf>
    <xf numFmtId="0" fontId="0" fillId="0" borderId="0" xfId="0" applyNumberFormat="1"/>
    <xf numFmtId="14" fontId="0" fillId="0" borderId="0" xfId="0" applyNumberFormat="1"/>
    <xf numFmtId="164" fontId="0" fillId="0" borderId="1" xfId="0" applyNumberFormat="1" applyBorder="1"/>
    <xf numFmtId="164" fontId="0" fillId="0" borderId="4" xfId="0" applyNumberFormat="1" applyBorder="1"/>
    <xf numFmtId="9" fontId="0" fillId="0" borderId="4" xfId="0" applyNumberFormat="1" applyBorder="1"/>
    <xf numFmtId="165" fontId="0" fillId="0" borderId="4" xfId="0" applyNumberFormat="1" applyBorder="1"/>
    <xf numFmtId="166" fontId="0" fillId="0" borderId="1" xfId="0" applyNumberFormat="1" applyBorder="1"/>
    <xf numFmtId="166" fontId="0" fillId="0" borderId="4" xfId="0" applyNumberFormat="1" applyBorder="1"/>
    <xf numFmtId="165" fontId="0" fillId="0" borderId="1" xfId="0" applyNumberFormat="1" applyBorder="1"/>
    <xf numFmtId="164" fontId="0" fillId="0" borderId="1" xfId="0" applyNumberFormat="1" applyBorder="1" applyAlignment="1">
      <alignment horizontal="right"/>
    </xf>
    <xf numFmtId="166" fontId="0" fillId="0" borderId="9" xfId="0" applyNumberFormat="1" applyBorder="1"/>
    <xf numFmtId="166" fontId="0" fillId="0" borderId="10" xfId="0" applyNumberFormat="1" applyBorder="1"/>
    <xf numFmtId="14" fontId="1" fillId="0" borderId="6" xfId="0" applyNumberFormat="1" applyFont="1" applyBorder="1" applyAlignment="1">
      <alignment horizontal="center"/>
    </xf>
    <xf numFmtId="14" fontId="0" fillId="0" borderId="0" xfId="0" applyNumberFormat="1" applyAlignment="1">
      <alignment horizontal="center"/>
    </xf>
    <xf numFmtId="167" fontId="0" fillId="0" borderId="1" xfId="0" applyNumberFormat="1" applyBorder="1" applyAlignment="1">
      <alignment horizontal="center"/>
    </xf>
    <xf numFmtId="167" fontId="0" fillId="0" borderId="9" xfId="0" applyNumberFormat="1" applyBorder="1" applyAlignment="1">
      <alignment horizontal="center"/>
    </xf>
    <xf numFmtId="164" fontId="0" fillId="0" borderId="4" xfId="0" applyNumberFormat="1" applyBorder="1" applyAlignment="1">
      <alignment horizontal="right"/>
    </xf>
    <xf numFmtId="165" fontId="0" fillId="0" borderId="4" xfId="0" applyNumberFormat="1" applyBorder="1" applyAlignment="1">
      <alignment horizontal="right"/>
    </xf>
    <xf numFmtId="164" fontId="0" fillId="0" borderId="7" xfId="0" applyNumberFormat="1" applyBorder="1" applyAlignment="1">
      <alignment horizontal="right"/>
    </xf>
    <xf numFmtId="164" fontId="0" fillId="0" borderId="10" xfId="0" applyNumberFormat="1" applyBorder="1" applyAlignment="1">
      <alignment horizontal="right"/>
    </xf>
    <xf numFmtId="10" fontId="0" fillId="0" borderId="1" xfId="0" applyNumberFormat="1" applyBorder="1" applyAlignment="1">
      <alignment horizontal="right"/>
    </xf>
    <xf numFmtId="166" fontId="0" fillId="0" borderId="0" xfId="0" applyNumberFormat="1"/>
    <xf numFmtId="0" fontId="12" fillId="0" borderId="0" xfId="0" applyFont="1" applyAlignment="1">
      <alignment horizontal="left" vertical="top" wrapText="1" indent="2"/>
    </xf>
    <xf numFmtId="0" fontId="8" fillId="0" borderId="0" xfId="0" applyFont="1" applyAlignment="1">
      <alignment vertical="top" wrapText="1" indent="2"/>
    </xf>
  </cellXfs>
  <cellStyles count="2">
    <cellStyle name="Hiperligação" xfId="1" builtinId="8"/>
    <cellStyle name="Normal" xfId="0" builtinId="0"/>
  </cellStyles>
  <dxfs count="22">
    <dxf>
      <border diagonalUp="0" diagonalDown="0">
        <left/>
        <right style="thin">
          <color indexed="64"/>
        </right>
        <top style="thin">
          <color indexed="64"/>
        </top>
        <bottom style="thin">
          <color indexed="64"/>
        </bottom>
        <vertical/>
        <horizontal/>
      </border>
    </dxf>
    <dxf>
      <numFmt numFmtId="164" formatCode="0.000"/>
      <alignment horizontal="right" vertical="bottom" textRotation="0" wrapText="0" indent="0" justifyLastLine="0" shrinkToFit="0" readingOrder="0"/>
      <border diagonalUp="0" diagonalDown="0">
        <left style="thin">
          <color indexed="64"/>
        </left>
        <right/>
        <top style="thin">
          <color indexed="64"/>
        </top>
        <bottom style="thin">
          <color indexed="64"/>
        </bottom>
      </border>
    </dxf>
    <dxf>
      <numFmt numFmtId="164" formatCode="0.000"/>
      <alignment horizontal="right" vertical="bottom" textRotation="0" wrapText="0" indent="0" justifyLastLine="0" shrinkToFit="0" readingOrder="0"/>
      <border diagonalUp="0" diagonalDown="0">
        <left style="thin">
          <color indexed="64"/>
        </left>
        <right/>
        <top style="thin">
          <color indexed="64"/>
        </top>
        <bottom style="thin">
          <color indexed="64"/>
        </bottom>
      </border>
    </dxf>
    <dxf>
      <numFmt numFmtId="166" formatCode="#,##0.00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numFmt numFmtId="166" formatCode="#,##0.000"/>
      <border diagonalUp="0" diagonalDown="0">
        <left style="thin">
          <color indexed="64"/>
        </left>
        <right style="thin">
          <color indexed="64"/>
        </right>
        <top style="thin">
          <color indexed="64"/>
        </top>
        <bottom style="thin">
          <color indexed="64"/>
        </bottom>
        <vertical/>
        <horizontal/>
      </border>
    </dxf>
    <dxf>
      <numFmt numFmtId="164" formatCode="0.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7" formatCode="yyyy\-mm\-dd;@"/>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tx>
            <c:strRef>
              <c:f>'Tabela Geral'!$D$74</c:f>
              <c:strCache>
                <c:ptCount val="1"/>
                <c:pt idx="0">
                  <c:v>Colesterol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'Tabela Geral'!$G$74:$G$84</c:f>
              <c:numCache>
                <c:formatCode>yyyy\-mm\-dd;@</c:formatCode>
                <c:ptCount val="11"/>
                <c:pt idx="0">
                  <c:v>43675</c:v>
                </c:pt>
                <c:pt idx="1">
                  <c:v>43796</c:v>
                </c:pt>
                <c:pt idx="2">
                  <c:v>42984</c:v>
                </c:pt>
                <c:pt idx="3">
                  <c:v>41291</c:v>
                </c:pt>
                <c:pt idx="4">
                  <c:v>44966</c:v>
                </c:pt>
                <c:pt idx="5">
                  <c:v>44625</c:v>
                </c:pt>
                <c:pt idx="6">
                  <c:v>45022</c:v>
                </c:pt>
                <c:pt idx="7">
                  <c:v>42478</c:v>
                </c:pt>
                <c:pt idx="8">
                  <c:v>44259</c:v>
                </c:pt>
                <c:pt idx="9">
                  <c:v>39462</c:v>
                </c:pt>
                <c:pt idx="10">
                  <c:v>44281</c:v>
                </c:pt>
              </c:numCache>
            </c:numRef>
          </c:cat>
          <c:val>
            <c:numRef>
              <c:f>'Tabela Geral'!$H$74:$H$84</c:f>
              <c:numCache>
                <c:formatCode>0.000</c:formatCode>
                <c:ptCount val="11"/>
                <c:pt idx="0">
                  <c:v>173</c:v>
                </c:pt>
                <c:pt idx="1">
                  <c:v>182</c:v>
                </c:pt>
                <c:pt idx="2">
                  <c:v>182</c:v>
                </c:pt>
                <c:pt idx="3">
                  <c:v>184</c:v>
                </c:pt>
                <c:pt idx="4">
                  <c:v>187</c:v>
                </c:pt>
                <c:pt idx="5">
                  <c:v>187</c:v>
                </c:pt>
                <c:pt idx="6">
                  <c:v>188</c:v>
                </c:pt>
                <c:pt idx="7">
                  <c:v>189</c:v>
                </c:pt>
                <c:pt idx="8">
                  <c:v>195</c:v>
                </c:pt>
                <c:pt idx="9">
                  <c:v>195</c:v>
                </c:pt>
                <c:pt idx="10">
                  <c:v>217</c:v>
                </c:pt>
              </c:numCache>
            </c:numRef>
          </c:val>
          <c:smooth val="0"/>
          <c:extLst>
            <c:ext xmlns:c16="http://schemas.microsoft.com/office/drawing/2014/chart" uri="{C3380CC4-5D6E-409C-BE32-E72D297353CC}">
              <c16:uniqueId val="{00000000-5B95-4038-9F20-78946ECE5E7B}"/>
            </c:ext>
          </c:extLst>
        </c:ser>
        <c:dLbls>
          <c:showLegendKey val="0"/>
          <c:showVal val="0"/>
          <c:showCatName val="0"/>
          <c:showSerName val="0"/>
          <c:showPercent val="0"/>
          <c:showBubbleSize val="0"/>
        </c:dLbls>
        <c:marker val="1"/>
        <c:smooth val="0"/>
        <c:axId val="900701136"/>
        <c:axId val="900703056"/>
      </c:lineChart>
      <c:dateAx>
        <c:axId val="900701136"/>
        <c:scaling>
          <c:orientation val="minMax"/>
        </c:scaling>
        <c:delete val="0"/>
        <c:axPos val="b"/>
        <c:numFmt formatCode="yyyy\-mm\-d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900703056"/>
        <c:crosses val="autoZero"/>
        <c:auto val="1"/>
        <c:lblOffset val="100"/>
        <c:baseTimeUnit val="days"/>
      </c:dateAx>
      <c:valAx>
        <c:axId val="90070305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90070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4203467940000509E-2"/>
          <c:y val="9.3145203869649723E-2"/>
          <c:w val="0.9425378991525365"/>
          <c:h val="0.86658201502958621"/>
        </c:manualLayout>
      </c:layout>
      <c:lineChart>
        <c:grouping val="standard"/>
        <c:varyColors val="0"/>
        <c:ser>
          <c:idx val="0"/>
          <c:order val="0"/>
          <c:tx>
            <c:strRef>
              <c:f>'Tabela Geral'!$D$237</c:f>
              <c:strCache>
                <c:ptCount val="1"/>
                <c:pt idx="0">
                  <c:v>Triglicéridos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'Tabela Geral'!$G$237:$G$246</c:f>
              <c:numCache>
                <c:formatCode>yyyy\-mm\-dd;@</c:formatCode>
                <c:ptCount val="10"/>
                <c:pt idx="0">
                  <c:v>44281</c:v>
                </c:pt>
                <c:pt idx="1">
                  <c:v>42478</c:v>
                </c:pt>
                <c:pt idx="2">
                  <c:v>43115</c:v>
                </c:pt>
                <c:pt idx="3">
                  <c:v>43796</c:v>
                </c:pt>
                <c:pt idx="4">
                  <c:v>43115</c:v>
                </c:pt>
                <c:pt idx="5">
                  <c:v>44281</c:v>
                </c:pt>
                <c:pt idx="6">
                  <c:v>45591</c:v>
                </c:pt>
                <c:pt idx="7">
                  <c:v>44625</c:v>
                </c:pt>
                <c:pt idx="8">
                  <c:v>43115</c:v>
                </c:pt>
                <c:pt idx="9">
                  <c:v>43796</c:v>
                </c:pt>
              </c:numCache>
            </c:numRef>
          </c:cat>
          <c:val>
            <c:numRef>
              <c:f>'Tabela Geral'!$H$237:$H$246</c:f>
              <c:numCache>
                <c:formatCode>0.000</c:formatCode>
                <c:ptCount val="10"/>
                <c:pt idx="0">
                  <c:v>104</c:v>
                </c:pt>
                <c:pt idx="1">
                  <c:v>106</c:v>
                </c:pt>
                <c:pt idx="2">
                  <c:v>107</c:v>
                </c:pt>
                <c:pt idx="3">
                  <c:v>3.4</c:v>
                </c:pt>
                <c:pt idx="4">
                  <c:v>1.05</c:v>
                </c:pt>
                <c:pt idx="5">
                  <c:v>1</c:v>
                </c:pt>
                <c:pt idx="6">
                  <c:v>0.745</c:v>
                </c:pt>
                <c:pt idx="7">
                  <c:v>0.86199999999999999</c:v>
                </c:pt>
                <c:pt idx="8">
                  <c:v>1.214</c:v>
                </c:pt>
                <c:pt idx="9">
                  <c:v>1.2929999999999999</c:v>
                </c:pt>
              </c:numCache>
            </c:numRef>
          </c:val>
          <c:smooth val="0"/>
          <c:extLst>
            <c:ext xmlns:c16="http://schemas.microsoft.com/office/drawing/2014/chart" uri="{C3380CC4-5D6E-409C-BE32-E72D297353CC}">
              <c16:uniqueId val="{00000000-D828-44C7-9521-3DD901F23943}"/>
            </c:ext>
          </c:extLst>
        </c:ser>
        <c:dLbls>
          <c:showLegendKey val="0"/>
          <c:showVal val="0"/>
          <c:showCatName val="0"/>
          <c:showSerName val="0"/>
          <c:showPercent val="0"/>
          <c:showBubbleSize val="0"/>
        </c:dLbls>
        <c:marker val="1"/>
        <c:smooth val="0"/>
        <c:axId val="900701136"/>
        <c:axId val="900703056"/>
      </c:lineChart>
      <c:dateAx>
        <c:axId val="900701136"/>
        <c:scaling>
          <c:orientation val="minMax"/>
        </c:scaling>
        <c:delete val="0"/>
        <c:axPos val="b"/>
        <c:numFmt formatCode="yyyy\-mm\-d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900703056"/>
        <c:crosses val="autoZero"/>
        <c:auto val="1"/>
        <c:lblOffset val="100"/>
        <c:baseTimeUnit val="days"/>
      </c:dateAx>
      <c:valAx>
        <c:axId val="90070305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90070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tx>
            <c:strRef>
              <c:f>'Tabela Geral'!$D$232</c:f>
              <c:strCache>
                <c:ptCount val="1"/>
                <c:pt idx="0">
                  <c:v>Triglicéridos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'Tabela Geral'!$G$232:$G$233</c:f>
              <c:numCache>
                <c:formatCode>yyyy\-mm\-dd;@</c:formatCode>
                <c:ptCount val="2"/>
                <c:pt idx="0">
                  <c:v>41291</c:v>
                </c:pt>
                <c:pt idx="1">
                  <c:v>42984</c:v>
                </c:pt>
              </c:numCache>
            </c:numRef>
          </c:cat>
          <c:val>
            <c:numRef>
              <c:f>'Tabela Geral'!$H$232:$H$233</c:f>
              <c:numCache>
                <c:formatCode>0.000</c:formatCode>
                <c:ptCount val="2"/>
                <c:pt idx="0">
                  <c:v>62</c:v>
                </c:pt>
                <c:pt idx="1">
                  <c:v>71</c:v>
                </c:pt>
              </c:numCache>
            </c:numRef>
          </c:val>
          <c:smooth val="0"/>
          <c:extLst>
            <c:ext xmlns:c16="http://schemas.microsoft.com/office/drawing/2014/chart" uri="{C3380CC4-5D6E-409C-BE32-E72D297353CC}">
              <c16:uniqueId val="{00000000-0EC9-407D-964D-D052DAECA4E9}"/>
            </c:ext>
          </c:extLst>
        </c:ser>
        <c:ser>
          <c:idx val="1"/>
          <c:order val="1"/>
          <c:tx>
            <c:v>Maximo</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'Tabela Geral'!$G$232:$G$233</c:f>
              <c:numCache>
                <c:formatCode>yyyy\-mm\-dd;@</c:formatCode>
                <c:ptCount val="2"/>
                <c:pt idx="0">
                  <c:v>41291</c:v>
                </c:pt>
                <c:pt idx="1">
                  <c:v>42984</c:v>
                </c:pt>
              </c:numCache>
            </c:numRef>
          </c:cat>
          <c:val>
            <c:numRef>
              <c:f>'Tabela Geral'!#REF!</c:f>
              <c:numCache>
                <c:formatCode>General</c:formatCode>
                <c:ptCount val="1"/>
                <c:pt idx="0">
                  <c:v>1</c:v>
                </c:pt>
              </c:numCache>
            </c:numRef>
          </c:val>
          <c:smooth val="0"/>
          <c:extLst>
            <c:ext xmlns:c16="http://schemas.microsoft.com/office/drawing/2014/chart" uri="{C3380CC4-5D6E-409C-BE32-E72D297353CC}">
              <c16:uniqueId val="{00000002-0EC9-407D-964D-D052DAECA4E9}"/>
            </c:ext>
          </c:extLst>
        </c:ser>
        <c:dLbls>
          <c:showLegendKey val="0"/>
          <c:showVal val="0"/>
          <c:showCatName val="0"/>
          <c:showSerName val="0"/>
          <c:showPercent val="0"/>
          <c:showBubbleSize val="0"/>
        </c:dLbls>
        <c:marker val="1"/>
        <c:smooth val="0"/>
        <c:axId val="900701136"/>
        <c:axId val="900703056"/>
      </c:lineChart>
      <c:dateAx>
        <c:axId val="900701136"/>
        <c:scaling>
          <c:orientation val="minMax"/>
        </c:scaling>
        <c:delete val="0"/>
        <c:axPos val="b"/>
        <c:numFmt formatCode="yyyy\-mm\-d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900703056"/>
        <c:crosses val="autoZero"/>
        <c:auto val="1"/>
        <c:lblOffset val="100"/>
        <c:baseTimeUnit val="years"/>
      </c:dateAx>
      <c:valAx>
        <c:axId val="90070305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90070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xdr:rowOff>
    </xdr:from>
    <xdr:to>
      <xdr:col>12</xdr:col>
      <xdr:colOff>393701</xdr:colOff>
      <xdr:row>9</xdr:row>
      <xdr:rowOff>63500</xdr:rowOff>
    </xdr:to>
    <xdr:graphicFrame macro="">
      <xdr:nvGraphicFramePr>
        <xdr:cNvPr id="2" name="Gráfico 1">
          <a:extLst>
            <a:ext uri="{FF2B5EF4-FFF2-40B4-BE49-F238E27FC236}">
              <a16:creationId xmlns:a16="http://schemas.microsoft.com/office/drawing/2014/main" id="{B0194EA0-53C4-4B41-A632-2062F0278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358775</xdr:colOff>
      <xdr:row>10</xdr:row>
      <xdr:rowOff>127001</xdr:rowOff>
    </xdr:from>
    <xdr:to>
      <xdr:col>10</xdr:col>
      <xdr:colOff>592666</xdr:colOff>
      <xdr:row>21</xdr:row>
      <xdr:rowOff>88901</xdr:rowOff>
    </xdr:to>
    <xdr:graphicFrame macro="">
      <xdr:nvGraphicFramePr>
        <xdr:cNvPr id="3" name="Gráfico 2">
          <a:extLst>
            <a:ext uri="{FF2B5EF4-FFF2-40B4-BE49-F238E27FC236}">
              <a16:creationId xmlns:a16="http://schemas.microsoft.com/office/drawing/2014/main" id="{468ACA99-41C2-478C-ADCE-EEF5BBE18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xdr:colOff>
      <xdr:row>24</xdr:row>
      <xdr:rowOff>0</xdr:rowOff>
    </xdr:from>
    <xdr:to>
      <xdr:col>13</xdr:col>
      <xdr:colOff>225425</xdr:colOff>
      <xdr:row>41</xdr:row>
      <xdr:rowOff>82550</xdr:rowOff>
    </xdr:to>
    <xdr:graphicFrame macro="">
      <xdr:nvGraphicFramePr>
        <xdr:cNvPr id="4" name="Gráfico 3">
          <a:extLst>
            <a:ext uri="{FF2B5EF4-FFF2-40B4-BE49-F238E27FC236}">
              <a16:creationId xmlns:a16="http://schemas.microsoft.com/office/drawing/2014/main" id="{D32B7A92-5D38-48FA-AF97-F4E5F38F9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7CF4F3A1-2CA9-4606-9E60-DE02AA1ADD65}" autoFormatId="16" applyNumberFormats="0" applyBorderFormats="0" applyFontFormats="0" applyPatternFormats="0" applyAlignmentFormats="0" applyWidthHeightFormats="0">
  <queryTableRefresh nextId="16">
    <queryTableFields count="12">
      <queryTableField id="1" name="Tipologia" tableColumnId="1"/>
      <queryTableField id="2" name="Análise" tableColumnId="2"/>
      <queryTableField id="3" name="Método" tableColumnId="3"/>
      <queryTableField id="4" name="Laboratório" tableColumnId="4"/>
      <queryTableField id="5" name="Data" tableColumnId="5"/>
      <queryTableField id="6" name="Valor" tableColumnId="6"/>
      <queryTableField id="14" name="Resultado" tableColumnId="13"/>
      <queryTableField id="12" name="Unidade" tableColumnId="12"/>
      <queryTableField id="7" name="Min" tableColumnId="7"/>
      <queryTableField id="8" name="Max" tableColumnId="8"/>
      <queryTableField id="10" name="Dmin" tableColumnId="10"/>
      <queryTableField id="11" name="Dmax"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91888F-5B4B-4420-A8D8-732A9F5271BB}" name="Tabela1_1" displayName="Tabela1_1" ref="A1:L261" tableType="queryTable" totalsRowShown="0">
  <autoFilter ref="A1:L261" xr:uid="{0B91888F-5B4B-4420-A8D8-732A9F5271BB}"/>
  <tableColumns count="12">
    <tableColumn id="1" xr3:uid="{667F468A-115D-4E9A-8BBF-3B283E569EEA}" uniqueName="1" name="Tipologia" queryTableFieldId="1" dataDxfId="21"/>
    <tableColumn id="2" xr3:uid="{A3B009FC-0E32-4AEC-BE99-16C1C427DA96}" uniqueName="2" name="Análise" queryTableFieldId="2" dataDxfId="20"/>
    <tableColumn id="3" xr3:uid="{CAFFDC91-AA7F-4A73-9014-B8F1CA63C90D}" uniqueName="3" name="Método" queryTableFieldId="3" dataDxfId="19"/>
    <tableColumn id="4" xr3:uid="{4F7FF56B-BF32-4095-BB4B-5D18ED208A9D}" uniqueName="4" name="Laboratório" queryTableFieldId="4" dataDxfId="18"/>
    <tableColumn id="5" xr3:uid="{B9EB82FA-E538-40F5-8AEF-133A17DBB4A2}" uniqueName="5" name="Data" queryTableFieldId="5" dataDxfId="17"/>
    <tableColumn id="6" xr3:uid="{8B461D17-1BDC-49DE-92CA-4324365EF2C0}" uniqueName="6" name="Valor" queryTableFieldId="6"/>
    <tableColumn id="13" xr3:uid="{40501F11-B83B-4F38-A521-1EC6376A4FB1}" uniqueName="13" name="Resultado" queryTableFieldId="14"/>
    <tableColumn id="12" xr3:uid="{83F75AAE-F6FE-46B0-8E64-50459E72D8DA}" uniqueName="12" name="Unidade" queryTableFieldId="12"/>
    <tableColumn id="7" xr3:uid="{44D826E2-329F-462E-BFC8-9EAD57BF3975}" uniqueName="7" name="Min" queryTableFieldId="7"/>
    <tableColumn id="8" xr3:uid="{768450DF-25A0-4A74-831D-19E31EF630BE}" uniqueName="8" name="Max" queryTableFieldId="8"/>
    <tableColumn id="10" xr3:uid="{06D2CB8E-6A34-4D44-8CD6-0074E56F22C5}" uniqueName="10" name="Dmin" queryTableFieldId="10"/>
    <tableColumn id="11" xr3:uid="{45636033-D364-49EF-BDB9-7576A5D657C4}" uniqueName="11" name="Dmax"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8B7CE9-8E62-4881-A715-50B3FAAA357E}" name="Tabela1" displayName="Tabela1" ref="B2:N262" totalsRowShown="0" headerRowDxfId="16" headerRowBorderDxfId="15" tableBorderDxfId="14" totalsRowBorderDxfId="13">
  <autoFilter ref="B2:N262" xr:uid="{9F60143E-3EDD-432F-BB57-EC9B60AF3BAF}"/>
  <tableColumns count="13">
    <tableColumn id="1" xr3:uid="{57396993-8E9D-4578-BA79-D5750C4952E7}" name="Membro" dataDxfId="12"/>
    <tableColumn id="8" xr3:uid="{3C794DEB-4EA7-4DEE-8367-BA72ABCC46B7}" name="Tipologia" dataDxfId="0"/>
    <tableColumn id="2" xr3:uid="{DEC53834-BB9F-4AE9-8DA0-17B4473809DC}" name="Análise" dataDxfId="11"/>
    <tableColumn id="3" xr3:uid="{8E45C6B6-4308-41FE-8D75-BD13B6AC9100}" name="Método" dataDxfId="10"/>
    <tableColumn id="4" xr3:uid="{12F3A153-A4E4-4FAA-A4DE-22D2FFA1FB1A}" name="Laboratório" dataDxfId="9"/>
    <tableColumn id="5" xr3:uid="{0B363B47-97EE-4238-8D39-756C8086D471}" name="Data" dataDxfId="8"/>
    <tableColumn id="6" xr3:uid="{9F510C98-EF08-4897-9640-3BC13341C77D}" name="Valor" dataDxfId="7"/>
    <tableColumn id="14" xr3:uid="{421321BF-5B8C-46E0-9940-99D54E760C99}" name="Resultado" dataDxfId="6">
      <calculatedColumnFormula array="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calculatedColumnFormula>
    </tableColumn>
    <tableColumn id="13" xr3:uid="{0B79B3B2-4837-4444-9DDB-9F1AC8D3787F}" name="Unidade" dataDxfId="5"/>
    <tableColumn id="7" xr3:uid="{2CDFA699-E750-400E-AD70-675FEB00FBF3}" name="Min" dataDxfId="4"/>
    <tableColumn id="9" xr3:uid="{A54A10E8-E23B-46A7-BC8B-FBD63A450DFF}" name="Max" dataDxfId="3"/>
    <tableColumn id="10" xr3:uid="{8E94ED04-D42B-45EC-B2DA-4AB561B52666}" name="Dmin" dataDxfId="2">
      <calculatedColumnFormula>IF(ISBLANK(Tabela1[[#This Row],[Min]]),"NMin",IF(Tabela1[[#This Row],[Valor]]&lt;Tabela1[[#This Row],[Min]],Tabela1[[#This Row],[Valor]]-Tabela1[[#This Row],[Min]],"Normal"))</calculatedColumnFormula>
    </tableColumn>
    <tableColumn id="11" xr3:uid="{7B708EE8-CB06-494E-B287-41B2A7A66ABB}" name="Dmax" dataDxfId="1">
      <calculatedColumnFormula>IF(ISBLANK(Tabela1[[#This Row],[Max]]),"NMax",IF(Tabela1[[#This Row],[Valor]]&gt;Tabela1[[#This Row],[Max]],Tabela1[[#This Row],[Valor]]-Tabela1[[#This Row],[Max]],"Normal"))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rededorsaoluiz.com.br/paciente/marcar-consulta/?uid=m2rdinvvsw34g8jz73e&amp;utm_source=tuasaude.com&amp;utm_medium=tuasaudeReader&amp;utm_campaign=banner_article_middle&amp;utm_content=page_article&amp;especialidadem=3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tuasaude.com/tsh-t3-t4/"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tuasaude.com/tsh-t3-t4/" TargetMode="External"/><Relationship Id="rId2" Type="http://schemas.openxmlformats.org/officeDocument/2006/relationships/hyperlink" Target="https://www.tuasaude.com/exame-tsh/" TargetMode="External"/><Relationship Id="rId1" Type="http://schemas.openxmlformats.org/officeDocument/2006/relationships/hyperlink" Target="https://www.tuasaude.com/marcela-lemos/"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tuasaude.com/ictericia/" TargetMode="External"/><Relationship Id="rId2" Type="http://schemas.openxmlformats.org/officeDocument/2006/relationships/hyperlink" Target="https://www.rededorsaoluiz.com.br/paciente/marcar-consulta/?uid=m2ryf8e8lwvh10u5qy&amp;utm_source=tuasaude.com&amp;utm_medium=tuasaudeReader&amp;utm_campaign=banner_article_exams&amp;utm_content=page_article&amp;especialidadem=35" TargetMode="External"/><Relationship Id="rId1" Type="http://schemas.openxmlformats.org/officeDocument/2006/relationships/hyperlink" Target="https://www.tuasaude.com/exames-para-o-figado/" TargetMode="External"/><Relationship Id="rId6" Type="http://schemas.openxmlformats.org/officeDocument/2006/relationships/hyperlink" Target="https://www.tuasaude.com/sindrome-de-gilbert/" TargetMode="External"/><Relationship Id="rId5" Type="http://schemas.openxmlformats.org/officeDocument/2006/relationships/hyperlink" Target="https://www.tuasaude.com/hepatite/" TargetMode="External"/><Relationship Id="rId4" Type="http://schemas.openxmlformats.org/officeDocument/2006/relationships/hyperlink" Target="https://www.tuasaude.com/sintomas-de-problemas-no-figado/"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rededorsaoluiz.com.br/paciente/marcar-consulta/?uid=m2ryreuert3vrgz1e1b&amp;utm_source=tuasaude.com&amp;utm_medium=tuasaudeReader&amp;utm_campaign=banner_article_exams&amp;utm_content=page_article&amp;especialidadem=30" TargetMode="External"/><Relationship Id="rId2" Type="http://schemas.openxmlformats.org/officeDocument/2006/relationships/hyperlink" Target="https://www.tuasaude.com/hemograma/" TargetMode="External"/><Relationship Id="rId1" Type="http://schemas.openxmlformats.org/officeDocument/2006/relationships/hyperlink" Target="https://www.tuasaude.com/marcela-lemo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0EA5-A7FD-42BF-BB2E-585033C2839F}">
  <dimension ref="A1:L261"/>
  <sheetViews>
    <sheetView workbookViewId="0">
      <selection activeCell="C11" sqref="C11"/>
    </sheetView>
  </sheetViews>
  <sheetFormatPr defaultRowHeight="14.5" x14ac:dyDescent="0.35"/>
  <cols>
    <col min="1" max="1" width="50.7265625" bestFit="1" customWidth="1"/>
    <col min="2" max="2" width="50.81640625" bestFit="1" customWidth="1"/>
    <col min="3" max="3" width="55.7265625" bestFit="1" customWidth="1"/>
    <col min="4" max="4" width="19.1796875" bestFit="1" customWidth="1"/>
    <col min="5" max="5" width="10.7265625" style="42" bestFit="1" customWidth="1"/>
    <col min="6" max="6" width="9.26953125" bestFit="1" customWidth="1"/>
    <col min="7" max="7" width="17.26953125" bestFit="1" customWidth="1"/>
    <col min="8" max="8" width="10.81640625" bestFit="1" customWidth="1"/>
    <col min="9" max="9" width="6.81640625" bestFit="1" customWidth="1"/>
    <col min="10" max="10" width="7.1796875" bestFit="1" customWidth="1"/>
    <col min="11" max="11" width="8" bestFit="1" customWidth="1"/>
    <col min="12" max="12" width="8.26953125" customWidth="1"/>
    <col min="13" max="13" width="8.26953125" bestFit="1" customWidth="1"/>
  </cols>
  <sheetData>
    <row r="1" spans="1:12" x14ac:dyDescent="0.35">
      <c r="A1" t="s">
        <v>42</v>
      </c>
      <c r="B1" t="s">
        <v>5</v>
      </c>
      <c r="C1" t="s">
        <v>43</v>
      </c>
      <c r="D1" t="s">
        <v>8</v>
      </c>
      <c r="E1" s="42" t="s">
        <v>9</v>
      </c>
      <c r="F1" t="s">
        <v>10</v>
      </c>
      <c r="G1" t="s">
        <v>283</v>
      </c>
      <c r="H1" t="s">
        <v>362</v>
      </c>
      <c r="I1" t="s">
        <v>6</v>
      </c>
      <c r="J1" t="s">
        <v>7</v>
      </c>
      <c r="K1" t="s">
        <v>357</v>
      </c>
      <c r="L1" t="s">
        <v>358</v>
      </c>
    </row>
    <row r="2" spans="1:12" x14ac:dyDescent="0.35">
      <c r="A2" s="41" t="s">
        <v>44</v>
      </c>
      <c r="B2" s="41" t="s">
        <v>14</v>
      </c>
      <c r="C2" s="41"/>
      <c r="D2" s="41" t="s">
        <v>146</v>
      </c>
      <c r="E2" s="42">
        <v>39462</v>
      </c>
      <c r="F2">
        <v>3.1</v>
      </c>
      <c r="G2" t="s">
        <v>364</v>
      </c>
      <c r="I2">
        <v>3.5</v>
      </c>
      <c r="J2">
        <v>7.2</v>
      </c>
      <c r="K2">
        <v>-0.39999999999999991</v>
      </c>
      <c r="L2" t="s">
        <v>359</v>
      </c>
    </row>
    <row r="3" spans="1:12" x14ac:dyDescent="0.35">
      <c r="A3" s="41" t="s">
        <v>44</v>
      </c>
      <c r="B3" s="41" t="s">
        <v>14</v>
      </c>
      <c r="C3" s="41" t="s">
        <v>17</v>
      </c>
      <c r="D3" s="41" t="s">
        <v>11</v>
      </c>
      <c r="E3" s="42">
        <v>44966</v>
      </c>
      <c r="F3">
        <v>4.9000000000000004</v>
      </c>
      <c r="G3" t="s">
        <v>359</v>
      </c>
      <c r="I3">
        <v>3.5</v>
      </c>
      <c r="J3">
        <v>7.2</v>
      </c>
      <c r="K3" t="s">
        <v>359</v>
      </c>
      <c r="L3" t="s">
        <v>359</v>
      </c>
    </row>
    <row r="4" spans="1:12" x14ac:dyDescent="0.35">
      <c r="A4" s="41" t="s">
        <v>93</v>
      </c>
      <c r="B4" s="41" t="s">
        <v>81</v>
      </c>
      <c r="C4" s="41" t="s">
        <v>85</v>
      </c>
      <c r="D4" s="41" t="s">
        <v>71</v>
      </c>
      <c r="E4" s="42">
        <v>44285</v>
      </c>
      <c r="F4">
        <v>3</v>
      </c>
      <c r="G4" t="s">
        <v>359</v>
      </c>
      <c r="J4">
        <v>18</v>
      </c>
      <c r="K4" t="s">
        <v>360</v>
      </c>
      <c r="L4" t="s">
        <v>359</v>
      </c>
    </row>
    <row r="5" spans="1:12" x14ac:dyDescent="0.35">
      <c r="A5" s="41" t="s">
        <v>44</v>
      </c>
      <c r="B5" s="41" t="s">
        <v>29</v>
      </c>
      <c r="C5" s="41"/>
      <c r="D5" s="41" t="s">
        <v>146</v>
      </c>
      <c r="E5" s="42">
        <v>39462</v>
      </c>
      <c r="F5">
        <v>38</v>
      </c>
      <c r="G5" t="s">
        <v>359</v>
      </c>
      <c r="I5">
        <v>8</v>
      </c>
      <c r="J5">
        <v>53</v>
      </c>
      <c r="K5" t="s">
        <v>359</v>
      </c>
      <c r="L5" t="s">
        <v>359</v>
      </c>
    </row>
    <row r="6" spans="1:12" x14ac:dyDescent="0.35">
      <c r="A6" s="41" t="s">
        <v>44</v>
      </c>
      <c r="B6" s="41" t="s">
        <v>29</v>
      </c>
      <c r="C6" s="41" t="s">
        <v>28</v>
      </c>
      <c r="D6" s="41" t="s">
        <v>11</v>
      </c>
      <c r="E6" s="42">
        <v>44625</v>
      </c>
      <c r="F6">
        <v>40</v>
      </c>
      <c r="G6" t="s">
        <v>359</v>
      </c>
      <c r="I6">
        <v>10</v>
      </c>
      <c r="J6">
        <v>49</v>
      </c>
      <c r="K6" t="s">
        <v>359</v>
      </c>
      <c r="L6" t="s">
        <v>359</v>
      </c>
    </row>
    <row r="7" spans="1:12" x14ac:dyDescent="0.35">
      <c r="A7" s="41" t="s">
        <v>44</v>
      </c>
      <c r="B7" s="41" t="s">
        <v>29</v>
      </c>
      <c r="C7" s="41" t="s">
        <v>28</v>
      </c>
      <c r="D7" s="41" t="s">
        <v>11</v>
      </c>
      <c r="E7" s="42">
        <v>43796</v>
      </c>
      <c r="F7">
        <v>43</v>
      </c>
      <c r="G7" t="s">
        <v>359</v>
      </c>
      <c r="I7">
        <v>10</v>
      </c>
      <c r="J7">
        <v>49</v>
      </c>
      <c r="K7" t="s">
        <v>359</v>
      </c>
      <c r="L7" t="s">
        <v>359</v>
      </c>
    </row>
    <row r="8" spans="1:12" x14ac:dyDescent="0.35">
      <c r="A8" s="41" t="s">
        <v>44</v>
      </c>
      <c r="B8" s="41" t="s">
        <v>29</v>
      </c>
      <c r="C8" s="41" t="s">
        <v>28</v>
      </c>
      <c r="D8" s="41" t="s">
        <v>11</v>
      </c>
      <c r="E8" s="42">
        <v>44966</v>
      </c>
      <c r="F8">
        <v>59</v>
      </c>
      <c r="G8" t="s">
        <v>364</v>
      </c>
      <c r="I8">
        <v>10</v>
      </c>
      <c r="J8">
        <v>49</v>
      </c>
      <c r="K8" t="s">
        <v>359</v>
      </c>
      <c r="L8">
        <v>10</v>
      </c>
    </row>
    <row r="9" spans="1:12" x14ac:dyDescent="0.35">
      <c r="A9" s="41" t="s">
        <v>44</v>
      </c>
      <c r="B9" s="41" t="s">
        <v>27</v>
      </c>
      <c r="C9" s="41" t="s">
        <v>28</v>
      </c>
      <c r="D9" s="41" t="s">
        <v>11</v>
      </c>
      <c r="E9" s="42">
        <v>45591</v>
      </c>
      <c r="F9">
        <v>24</v>
      </c>
      <c r="G9" t="s">
        <v>359</v>
      </c>
      <c r="J9">
        <v>34</v>
      </c>
      <c r="K9" t="s">
        <v>360</v>
      </c>
      <c r="L9" t="s">
        <v>359</v>
      </c>
    </row>
    <row r="10" spans="1:12" x14ac:dyDescent="0.35">
      <c r="A10" s="41" t="s">
        <v>166</v>
      </c>
      <c r="B10" s="41" t="s">
        <v>167</v>
      </c>
      <c r="C10" s="41"/>
      <c r="D10" s="41" t="s">
        <v>146</v>
      </c>
      <c r="E10" s="42">
        <v>43115</v>
      </c>
      <c r="F10">
        <v>0.72099999999999997</v>
      </c>
      <c r="G10" t="s">
        <v>364</v>
      </c>
      <c r="H10" t="s">
        <v>363</v>
      </c>
      <c r="I10">
        <v>0.55000000000000004</v>
      </c>
      <c r="J10">
        <v>0.66</v>
      </c>
      <c r="K10" t="s">
        <v>359</v>
      </c>
      <c r="L10">
        <v>6.0999999999999943E-2</v>
      </c>
    </row>
    <row r="11" spans="1:12" x14ac:dyDescent="0.35">
      <c r="A11" s="41" t="s">
        <v>158</v>
      </c>
      <c r="B11" s="41" t="s">
        <v>161</v>
      </c>
      <c r="C11" s="41"/>
      <c r="D11" s="41" t="s">
        <v>71</v>
      </c>
      <c r="E11" s="42">
        <v>43838</v>
      </c>
      <c r="F11">
        <v>0.1</v>
      </c>
      <c r="G11" t="s">
        <v>365</v>
      </c>
      <c r="K11" t="s">
        <v>360</v>
      </c>
      <c r="L11" t="s">
        <v>361</v>
      </c>
    </row>
    <row r="12" spans="1:12" x14ac:dyDescent="0.35">
      <c r="A12" s="41" t="s">
        <v>158</v>
      </c>
      <c r="B12" s="41" t="s">
        <v>161</v>
      </c>
      <c r="C12" s="41"/>
      <c r="D12" s="41" t="s">
        <v>11</v>
      </c>
      <c r="E12" s="42">
        <v>44966</v>
      </c>
      <c r="F12">
        <v>10.199999999999999</v>
      </c>
      <c r="G12" t="s">
        <v>364</v>
      </c>
      <c r="J12">
        <v>8</v>
      </c>
      <c r="K12" t="s">
        <v>360</v>
      </c>
      <c r="L12">
        <v>2.1999999999999993</v>
      </c>
    </row>
    <row r="13" spans="1:12" x14ac:dyDescent="0.35">
      <c r="A13" s="41" t="s">
        <v>158</v>
      </c>
      <c r="B13" s="41" t="s">
        <v>161</v>
      </c>
      <c r="C13" s="41"/>
      <c r="D13" s="41" t="s">
        <v>146</v>
      </c>
      <c r="E13" s="42">
        <v>39462</v>
      </c>
      <c r="F13">
        <v>21.46</v>
      </c>
      <c r="G13" t="s">
        <v>364</v>
      </c>
      <c r="J13">
        <v>10</v>
      </c>
      <c r="K13" t="s">
        <v>360</v>
      </c>
      <c r="L13">
        <v>11.46</v>
      </c>
    </row>
    <row r="14" spans="1:12" x14ac:dyDescent="0.35">
      <c r="A14" s="41" t="s">
        <v>158</v>
      </c>
      <c r="B14" s="41" t="s">
        <v>174</v>
      </c>
      <c r="C14" s="41"/>
      <c r="D14" s="41" t="s">
        <v>71</v>
      </c>
      <c r="E14" s="42">
        <v>43838</v>
      </c>
      <c r="F14" t="s">
        <v>175</v>
      </c>
      <c r="G14" t="s">
        <v>366</v>
      </c>
      <c r="K14" t="s">
        <v>360</v>
      </c>
      <c r="L14" t="s">
        <v>361</v>
      </c>
    </row>
    <row r="15" spans="1:12" x14ac:dyDescent="0.35">
      <c r="A15" s="41" t="s">
        <v>158</v>
      </c>
      <c r="B15" s="41" t="s">
        <v>160</v>
      </c>
      <c r="C15" s="41"/>
      <c r="D15" s="41" t="s">
        <v>146</v>
      </c>
      <c r="E15" s="42">
        <v>39462</v>
      </c>
      <c r="F15">
        <v>0.05</v>
      </c>
      <c r="G15" t="s">
        <v>359</v>
      </c>
      <c r="J15">
        <v>1</v>
      </c>
      <c r="K15" t="s">
        <v>360</v>
      </c>
      <c r="L15" t="s">
        <v>359</v>
      </c>
    </row>
    <row r="16" spans="1:12" x14ac:dyDescent="0.35">
      <c r="A16" s="41" t="s">
        <v>158</v>
      </c>
      <c r="B16" s="41" t="s">
        <v>160</v>
      </c>
      <c r="C16" s="41"/>
      <c r="D16" s="41" t="s">
        <v>11</v>
      </c>
      <c r="E16" s="42">
        <v>44966</v>
      </c>
      <c r="F16">
        <v>0.1</v>
      </c>
      <c r="G16" t="s">
        <v>359</v>
      </c>
      <c r="J16">
        <v>0.8</v>
      </c>
      <c r="K16" t="s">
        <v>360</v>
      </c>
      <c r="L16" t="s">
        <v>359</v>
      </c>
    </row>
    <row r="17" spans="1:12" x14ac:dyDescent="0.35">
      <c r="A17" s="41" t="s">
        <v>158</v>
      </c>
      <c r="B17" s="41" t="s">
        <v>160</v>
      </c>
      <c r="C17" s="41"/>
      <c r="D17" s="41" t="s">
        <v>71</v>
      </c>
      <c r="E17" s="42">
        <v>43838</v>
      </c>
      <c r="F17" t="s">
        <v>33</v>
      </c>
      <c r="G17" t="s">
        <v>366</v>
      </c>
      <c r="K17" t="s">
        <v>360</v>
      </c>
      <c r="L17" t="s">
        <v>361</v>
      </c>
    </row>
    <row r="18" spans="1:12" x14ac:dyDescent="0.35">
      <c r="A18" s="41" t="s">
        <v>162</v>
      </c>
      <c r="B18" s="41" t="s">
        <v>164</v>
      </c>
      <c r="C18" s="41"/>
      <c r="D18" s="41" t="s">
        <v>71</v>
      </c>
      <c r="E18" s="42">
        <v>43838</v>
      </c>
      <c r="F18">
        <v>0.16</v>
      </c>
      <c r="G18" t="s">
        <v>359</v>
      </c>
      <c r="J18">
        <v>1</v>
      </c>
      <c r="K18" t="s">
        <v>360</v>
      </c>
      <c r="L18" t="s">
        <v>359</v>
      </c>
    </row>
    <row r="19" spans="1:12" x14ac:dyDescent="0.35">
      <c r="A19" s="41" t="s">
        <v>162</v>
      </c>
      <c r="B19" s="41" t="s">
        <v>164</v>
      </c>
      <c r="C19" s="41"/>
      <c r="D19" s="41" t="s">
        <v>146</v>
      </c>
      <c r="E19" s="42">
        <v>43115</v>
      </c>
      <c r="F19" t="s">
        <v>33</v>
      </c>
      <c r="G19" t="s">
        <v>366</v>
      </c>
      <c r="K19" t="s">
        <v>360</v>
      </c>
      <c r="L19" t="s">
        <v>361</v>
      </c>
    </row>
    <row r="20" spans="1:12" x14ac:dyDescent="0.35">
      <c r="A20" s="41" t="s">
        <v>158</v>
      </c>
      <c r="B20" s="41" t="s">
        <v>177</v>
      </c>
      <c r="C20" s="41"/>
      <c r="D20" s="41" t="s">
        <v>11</v>
      </c>
      <c r="E20" s="42">
        <v>44966</v>
      </c>
      <c r="F20">
        <v>0.1</v>
      </c>
      <c r="G20" t="s">
        <v>359</v>
      </c>
      <c r="J20">
        <v>0.5</v>
      </c>
      <c r="K20" t="s">
        <v>360</v>
      </c>
      <c r="L20" t="s">
        <v>359</v>
      </c>
    </row>
    <row r="21" spans="1:12" x14ac:dyDescent="0.35">
      <c r="A21" s="41" t="s">
        <v>162</v>
      </c>
      <c r="B21" s="41" t="s">
        <v>37</v>
      </c>
      <c r="C21" s="41" t="s">
        <v>32</v>
      </c>
      <c r="D21" s="41" t="s">
        <v>11</v>
      </c>
      <c r="E21" s="42">
        <v>44966</v>
      </c>
      <c r="F21">
        <v>0.2</v>
      </c>
      <c r="G21" t="s">
        <v>359</v>
      </c>
      <c r="J21">
        <v>0.9</v>
      </c>
      <c r="K21" t="s">
        <v>360</v>
      </c>
      <c r="L21" t="s">
        <v>359</v>
      </c>
    </row>
    <row r="22" spans="1:12" x14ac:dyDescent="0.35">
      <c r="A22" s="41" t="s">
        <v>156</v>
      </c>
      <c r="B22" s="41" t="s">
        <v>157</v>
      </c>
      <c r="C22" s="41"/>
      <c r="D22" s="41" t="s">
        <v>146</v>
      </c>
      <c r="E22" s="42">
        <v>39462</v>
      </c>
      <c r="F22">
        <v>1.5</v>
      </c>
      <c r="G22" t="s">
        <v>359</v>
      </c>
      <c r="J22">
        <v>3</v>
      </c>
      <c r="K22" t="s">
        <v>360</v>
      </c>
      <c r="L22" t="s">
        <v>359</v>
      </c>
    </row>
    <row r="23" spans="1:12" x14ac:dyDescent="0.35">
      <c r="A23" s="41" t="s">
        <v>158</v>
      </c>
      <c r="B23" s="41" t="s">
        <v>159</v>
      </c>
      <c r="C23" s="41"/>
      <c r="D23" s="41" t="s">
        <v>146</v>
      </c>
      <c r="E23" s="42">
        <v>39462</v>
      </c>
      <c r="F23">
        <v>0</v>
      </c>
      <c r="G23" t="s">
        <v>359</v>
      </c>
      <c r="J23">
        <v>0.05</v>
      </c>
      <c r="K23" t="s">
        <v>360</v>
      </c>
      <c r="L23" t="s">
        <v>359</v>
      </c>
    </row>
    <row r="24" spans="1:12" x14ac:dyDescent="0.35">
      <c r="A24" s="41" t="s">
        <v>158</v>
      </c>
      <c r="B24" s="41" t="s">
        <v>176</v>
      </c>
      <c r="C24" s="41"/>
      <c r="D24" s="41" t="s">
        <v>11</v>
      </c>
      <c r="E24" s="42">
        <v>44966</v>
      </c>
      <c r="F24">
        <v>0.1</v>
      </c>
      <c r="G24" t="s">
        <v>359</v>
      </c>
      <c r="J24">
        <v>0.9</v>
      </c>
      <c r="K24" t="s">
        <v>360</v>
      </c>
      <c r="L24" t="s">
        <v>359</v>
      </c>
    </row>
    <row r="25" spans="1:12" x14ac:dyDescent="0.35">
      <c r="A25" s="41" t="s">
        <v>44</v>
      </c>
      <c r="B25" s="41" t="s">
        <v>27</v>
      </c>
      <c r="C25" s="41"/>
      <c r="D25" s="41" t="s">
        <v>143</v>
      </c>
      <c r="E25" s="42">
        <v>41291</v>
      </c>
      <c r="F25">
        <v>22</v>
      </c>
      <c r="G25" t="s">
        <v>359</v>
      </c>
      <c r="I25">
        <v>17</v>
      </c>
      <c r="J25">
        <v>59</v>
      </c>
      <c r="K25" t="s">
        <v>359</v>
      </c>
      <c r="L25" t="s">
        <v>359</v>
      </c>
    </row>
    <row r="26" spans="1:12" x14ac:dyDescent="0.35">
      <c r="A26" s="41" t="s">
        <v>44</v>
      </c>
      <c r="B26" s="41" t="s">
        <v>27</v>
      </c>
      <c r="C26" s="41"/>
      <c r="D26" s="41" t="s">
        <v>146</v>
      </c>
      <c r="E26" s="42">
        <v>39462</v>
      </c>
      <c r="F26">
        <v>22</v>
      </c>
      <c r="G26" t="s">
        <v>359</v>
      </c>
      <c r="I26">
        <v>8</v>
      </c>
      <c r="J26">
        <v>40</v>
      </c>
      <c r="K26" t="s">
        <v>359</v>
      </c>
      <c r="L26" t="s">
        <v>359</v>
      </c>
    </row>
    <row r="27" spans="1:12" x14ac:dyDescent="0.35">
      <c r="A27" s="41" t="s">
        <v>44</v>
      </c>
      <c r="B27" s="41" t="s">
        <v>27</v>
      </c>
      <c r="C27" s="41" t="s">
        <v>28</v>
      </c>
      <c r="D27" s="41" t="s">
        <v>11</v>
      </c>
      <c r="E27" s="42">
        <v>43796</v>
      </c>
      <c r="F27">
        <v>23</v>
      </c>
      <c r="G27" t="s">
        <v>359</v>
      </c>
      <c r="J27">
        <v>34</v>
      </c>
      <c r="K27" t="s">
        <v>360</v>
      </c>
      <c r="L27" t="s">
        <v>359</v>
      </c>
    </row>
    <row r="28" spans="1:12" x14ac:dyDescent="0.35">
      <c r="A28" s="41" t="s">
        <v>44</v>
      </c>
      <c r="B28" s="41" t="s">
        <v>27</v>
      </c>
      <c r="C28" s="41" t="s">
        <v>28</v>
      </c>
      <c r="D28" s="41" t="s">
        <v>11</v>
      </c>
      <c r="E28" s="42">
        <v>44625</v>
      </c>
      <c r="F28">
        <v>25</v>
      </c>
      <c r="G28" t="s">
        <v>359</v>
      </c>
      <c r="J28">
        <v>34</v>
      </c>
      <c r="K28" t="s">
        <v>360</v>
      </c>
      <c r="L28" t="s">
        <v>359</v>
      </c>
    </row>
    <row r="29" spans="1:12" x14ac:dyDescent="0.35">
      <c r="A29" s="41" t="s">
        <v>44</v>
      </c>
      <c r="B29" s="41" t="s">
        <v>27</v>
      </c>
      <c r="C29" s="41" t="s">
        <v>28</v>
      </c>
      <c r="D29" s="41" t="s">
        <v>11</v>
      </c>
      <c r="E29" s="42">
        <v>44966</v>
      </c>
      <c r="F29">
        <v>36</v>
      </c>
      <c r="G29" t="s">
        <v>364</v>
      </c>
      <c r="J29">
        <v>34</v>
      </c>
      <c r="K29" t="s">
        <v>360</v>
      </c>
      <c r="L29">
        <v>2</v>
      </c>
    </row>
    <row r="30" spans="1:12" x14ac:dyDescent="0.35">
      <c r="A30" s="41" t="s">
        <v>44</v>
      </c>
      <c r="B30" s="41" t="s">
        <v>356</v>
      </c>
      <c r="C30" s="41" t="s">
        <v>187</v>
      </c>
      <c r="D30" s="41" t="s">
        <v>11</v>
      </c>
      <c r="E30" s="42">
        <v>45591</v>
      </c>
      <c r="F30">
        <v>0.4</v>
      </c>
      <c r="G30" t="s">
        <v>364</v>
      </c>
      <c r="J30">
        <v>0.3</v>
      </c>
      <c r="K30" t="s">
        <v>360</v>
      </c>
      <c r="L30">
        <v>0.10000000000000003</v>
      </c>
    </row>
    <row r="31" spans="1:12" x14ac:dyDescent="0.35">
      <c r="A31" s="41" t="s">
        <v>90</v>
      </c>
      <c r="B31" s="41" t="s">
        <v>46</v>
      </c>
      <c r="C31" s="41" t="s">
        <v>68</v>
      </c>
      <c r="D31" s="41" t="s">
        <v>11</v>
      </c>
      <c r="E31" s="42">
        <v>44625</v>
      </c>
      <c r="F31" t="s">
        <v>57</v>
      </c>
      <c r="G31" t="s">
        <v>365</v>
      </c>
      <c r="K31" t="s">
        <v>360</v>
      </c>
      <c r="L31" t="s">
        <v>361</v>
      </c>
    </row>
    <row r="32" spans="1:12" x14ac:dyDescent="0.35">
      <c r="A32" s="41" t="s">
        <v>97</v>
      </c>
      <c r="B32" s="41" t="s">
        <v>100</v>
      </c>
      <c r="C32" s="41"/>
      <c r="D32" s="41" t="s">
        <v>11</v>
      </c>
      <c r="E32" s="42">
        <v>43796</v>
      </c>
      <c r="F32">
        <v>7.0000000000000007E-2</v>
      </c>
      <c r="G32" t="s">
        <v>359</v>
      </c>
      <c r="I32">
        <v>0.01</v>
      </c>
      <c r="J32">
        <v>0.08</v>
      </c>
      <c r="K32" t="s">
        <v>359</v>
      </c>
      <c r="L32" t="s">
        <v>359</v>
      </c>
    </row>
    <row r="33" spans="1:12" x14ac:dyDescent="0.35">
      <c r="A33" s="41" t="s">
        <v>97</v>
      </c>
      <c r="B33" s="41" t="s">
        <v>99</v>
      </c>
      <c r="C33" s="41"/>
      <c r="D33" s="41" t="s">
        <v>11</v>
      </c>
      <c r="E33" s="42">
        <v>45591</v>
      </c>
      <c r="F33">
        <v>0</v>
      </c>
      <c r="G33" t="s">
        <v>364</v>
      </c>
      <c r="I33">
        <v>0.03</v>
      </c>
      <c r="J33">
        <v>0.48</v>
      </c>
      <c r="K33">
        <v>-0.03</v>
      </c>
      <c r="L33" t="s">
        <v>359</v>
      </c>
    </row>
    <row r="34" spans="1:12" x14ac:dyDescent="0.35">
      <c r="A34" s="41" t="s">
        <v>97</v>
      </c>
      <c r="B34" s="41" t="s">
        <v>128</v>
      </c>
      <c r="C34" s="41"/>
      <c r="D34" s="41" t="s">
        <v>146</v>
      </c>
      <c r="E34" s="42">
        <v>39462</v>
      </c>
      <c r="F34">
        <v>2E-3</v>
      </c>
      <c r="G34" t="s">
        <v>359</v>
      </c>
      <c r="H34" t="s">
        <v>363</v>
      </c>
      <c r="I34">
        <v>0</v>
      </c>
      <c r="J34">
        <v>0.02</v>
      </c>
      <c r="K34" t="s">
        <v>359</v>
      </c>
      <c r="L34" t="s">
        <v>359</v>
      </c>
    </row>
    <row r="35" spans="1:12" x14ac:dyDescent="0.35">
      <c r="A35" s="41" t="s">
        <v>97</v>
      </c>
      <c r="B35" s="41" t="s">
        <v>128</v>
      </c>
      <c r="C35" s="41" t="s">
        <v>96</v>
      </c>
      <c r="D35" s="41" t="s">
        <v>71</v>
      </c>
      <c r="E35" s="42">
        <v>44281</v>
      </c>
      <c r="F35">
        <v>0.01</v>
      </c>
      <c r="G35" t="s">
        <v>359</v>
      </c>
      <c r="H35" t="s">
        <v>363</v>
      </c>
      <c r="I35">
        <v>0</v>
      </c>
      <c r="J35">
        <v>0.02</v>
      </c>
      <c r="K35" t="s">
        <v>359</v>
      </c>
      <c r="L35" t="s">
        <v>359</v>
      </c>
    </row>
    <row r="36" spans="1:12" x14ac:dyDescent="0.35">
      <c r="A36" s="41" t="s">
        <v>97</v>
      </c>
      <c r="B36" s="41" t="s">
        <v>128</v>
      </c>
      <c r="C36" s="41"/>
      <c r="D36" s="41" t="s">
        <v>11</v>
      </c>
      <c r="E36" s="42">
        <v>43796</v>
      </c>
      <c r="F36">
        <v>1.7000000000000001E-2</v>
      </c>
      <c r="G36" t="s">
        <v>359</v>
      </c>
      <c r="H36" t="s">
        <v>363</v>
      </c>
      <c r="I36">
        <v>0</v>
      </c>
      <c r="J36">
        <v>0.02</v>
      </c>
      <c r="K36" t="s">
        <v>359</v>
      </c>
      <c r="L36" t="s">
        <v>359</v>
      </c>
    </row>
    <row r="37" spans="1:12" x14ac:dyDescent="0.35">
      <c r="A37" s="41" t="s">
        <v>97</v>
      </c>
      <c r="B37" s="41" t="s">
        <v>127</v>
      </c>
      <c r="C37" s="41"/>
      <c r="D37" s="41" t="s">
        <v>11</v>
      </c>
      <c r="E37" s="42">
        <v>45591</v>
      </c>
      <c r="F37">
        <v>0</v>
      </c>
      <c r="G37" t="s">
        <v>364</v>
      </c>
      <c r="H37" t="s">
        <v>363</v>
      </c>
      <c r="I37">
        <v>0.01</v>
      </c>
      <c r="J37">
        <v>0.06</v>
      </c>
      <c r="K37">
        <v>-0.01</v>
      </c>
      <c r="L37" t="s">
        <v>359</v>
      </c>
    </row>
    <row r="38" spans="1:12" x14ac:dyDescent="0.35">
      <c r="A38" s="41" t="s">
        <v>90</v>
      </c>
      <c r="B38" s="41" t="s">
        <v>89</v>
      </c>
      <c r="C38" s="41" t="s">
        <v>68</v>
      </c>
      <c r="D38" s="41" t="s">
        <v>11</v>
      </c>
      <c r="E38" s="42">
        <v>44625</v>
      </c>
      <c r="F38" t="s">
        <v>59</v>
      </c>
      <c r="G38" t="s">
        <v>365</v>
      </c>
      <c r="K38" t="s">
        <v>360</v>
      </c>
      <c r="L38" t="s">
        <v>361</v>
      </c>
    </row>
    <row r="39" spans="1:12" x14ac:dyDescent="0.35">
      <c r="A39" s="41" t="s">
        <v>90</v>
      </c>
      <c r="B39" s="41" t="s">
        <v>89</v>
      </c>
      <c r="C39" s="41" t="s">
        <v>123</v>
      </c>
      <c r="D39" s="41" t="s">
        <v>71</v>
      </c>
      <c r="E39" s="42">
        <v>44281</v>
      </c>
      <c r="F39" t="s">
        <v>33</v>
      </c>
      <c r="G39" t="s">
        <v>366</v>
      </c>
      <c r="K39" t="s">
        <v>360</v>
      </c>
      <c r="L39" t="s">
        <v>361</v>
      </c>
    </row>
    <row r="40" spans="1:12" x14ac:dyDescent="0.35">
      <c r="A40" s="41" t="s">
        <v>44</v>
      </c>
      <c r="B40" s="41" t="s">
        <v>30</v>
      </c>
      <c r="C40" s="41" t="s">
        <v>16</v>
      </c>
      <c r="D40" s="41" t="s">
        <v>11</v>
      </c>
      <c r="E40" s="42">
        <v>45591</v>
      </c>
      <c r="F40">
        <v>33</v>
      </c>
      <c r="G40" t="s">
        <v>359</v>
      </c>
      <c r="J40">
        <v>73</v>
      </c>
      <c r="K40" t="s">
        <v>360</v>
      </c>
      <c r="L40" t="s">
        <v>359</v>
      </c>
    </row>
    <row r="41" spans="1:12" x14ac:dyDescent="0.35">
      <c r="A41" s="41" t="s">
        <v>90</v>
      </c>
      <c r="B41" s="41" t="s">
        <v>151</v>
      </c>
      <c r="C41" s="41"/>
      <c r="D41" s="41" t="s">
        <v>146</v>
      </c>
      <c r="E41" s="42">
        <v>39462</v>
      </c>
      <c r="F41">
        <v>0.1</v>
      </c>
      <c r="G41" t="s">
        <v>359</v>
      </c>
      <c r="I41">
        <v>0.1</v>
      </c>
      <c r="J41">
        <v>0.4</v>
      </c>
      <c r="K41" t="s">
        <v>359</v>
      </c>
      <c r="L41" t="s">
        <v>359</v>
      </c>
    </row>
    <row r="42" spans="1:12" x14ac:dyDescent="0.35">
      <c r="A42" s="41" t="s">
        <v>90</v>
      </c>
      <c r="B42" s="41" t="s">
        <v>152</v>
      </c>
      <c r="C42" s="41"/>
      <c r="D42" s="41" t="s">
        <v>146</v>
      </c>
      <c r="E42" s="42">
        <v>39462</v>
      </c>
      <c r="F42">
        <v>0.5</v>
      </c>
      <c r="G42" t="s">
        <v>359</v>
      </c>
      <c r="I42">
        <v>0.4</v>
      </c>
      <c r="J42">
        <v>1.1000000000000001</v>
      </c>
      <c r="K42" t="s">
        <v>359</v>
      </c>
      <c r="L42" t="s">
        <v>359</v>
      </c>
    </row>
    <row r="43" spans="1:12" x14ac:dyDescent="0.35">
      <c r="A43" s="41" t="s">
        <v>97</v>
      </c>
      <c r="B43" s="41" t="s">
        <v>102</v>
      </c>
      <c r="C43" s="41"/>
      <c r="D43" s="41" t="s">
        <v>11</v>
      </c>
      <c r="E43" s="42">
        <v>45591</v>
      </c>
      <c r="F43">
        <v>0.2</v>
      </c>
      <c r="G43" t="s">
        <v>364</v>
      </c>
      <c r="I43">
        <v>0.26</v>
      </c>
      <c r="J43">
        <v>0.81</v>
      </c>
      <c r="K43">
        <v>-0.06</v>
      </c>
      <c r="L43" t="s">
        <v>359</v>
      </c>
    </row>
    <row r="44" spans="1:12" x14ac:dyDescent="0.35">
      <c r="A44" s="41" t="s">
        <v>95</v>
      </c>
      <c r="B44" s="41" t="s">
        <v>125</v>
      </c>
      <c r="C44" s="41"/>
      <c r="D44" s="41" t="s">
        <v>146</v>
      </c>
      <c r="E44" s="42">
        <v>39462</v>
      </c>
      <c r="F44">
        <v>0.33600000000000002</v>
      </c>
      <c r="G44" t="s">
        <v>359</v>
      </c>
      <c r="H44" t="s">
        <v>363</v>
      </c>
      <c r="I44">
        <v>0.317</v>
      </c>
      <c r="J44">
        <v>0.35699999999999998</v>
      </c>
      <c r="K44" t="s">
        <v>359</v>
      </c>
      <c r="L44" t="s">
        <v>359</v>
      </c>
    </row>
    <row r="45" spans="1:12" x14ac:dyDescent="0.35">
      <c r="A45" s="41" t="s">
        <v>95</v>
      </c>
      <c r="B45" s="41" t="s">
        <v>125</v>
      </c>
      <c r="C45" s="41"/>
      <c r="D45" s="41" t="s">
        <v>11</v>
      </c>
      <c r="E45" s="42">
        <v>43796</v>
      </c>
      <c r="F45">
        <v>0.33700000000000002</v>
      </c>
      <c r="G45" t="s">
        <v>359</v>
      </c>
      <c r="H45" t="s">
        <v>363</v>
      </c>
      <c r="I45">
        <v>0.32</v>
      </c>
      <c r="J45">
        <v>0.36499999999999999</v>
      </c>
      <c r="K45" t="s">
        <v>359</v>
      </c>
      <c r="L45" t="s">
        <v>359</v>
      </c>
    </row>
    <row r="46" spans="1:12" x14ac:dyDescent="0.35">
      <c r="A46" s="41" t="s">
        <v>95</v>
      </c>
      <c r="B46" s="41" t="s">
        <v>125</v>
      </c>
      <c r="C46" s="41" t="s">
        <v>96</v>
      </c>
      <c r="D46" s="41" t="s">
        <v>71</v>
      </c>
      <c r="E46" s="42">
        <v>44281</v>
      </c>
      <c r="F46">
        <v>0.34200000000000003</v>
      </c>
      <c r="G46" t="s">
        <v>359</v>
      </c>
      <c r="H46" t="s">
        <v>363</v>
      </c>
      <c r="I46">
        <v>0.32</v>
      </c>
      <c r="J46">
        <v>0.36499999999999999</v>
      </c>
      <c r="K46" t="s">
        <v>359</v>
      </c>
      <c r="L46" t="s">
        <v>359</v>
      </c>
    </row>
    <row r="47" spans="1:12" x14ac:dyDescent="0.35">
      <c r="A47" s="41" t="s">
        <v>103</v>
      </c>
      <c r="B47" s="41" t="s">
        <v>132</v>
      </c>
      <c r="C47" s="41"/>
      <c r="D47" s="41" t="s">
        <v>11</v>
      </c>
      <c r="E47" s="42">
        <v>45591</v>
      </c>
      <c r="F47">
        <v>12.8</v>
      </c>
      <c r="G47" t="s">
        <v>365</v>
      </c>
      <c r="K47" t="s">
        <v>360</v>
      </c>
      <c r="L47" t="s">
        <v>361</v>
      </c>
    </row>
    <row r="48" spans="1:12" x14ac:dyDescent="0.35">
      <c r="A48" s="41" t="s">
        <v>44</v>
      </c>
      <c r="B48" s="41" t="s">
        <v>135</v>
      </c>
      <c r="C48" s="41"/>
      <c r="D48" s="41" t="s">
        <v>146</v>
      </c>
      <c r="E48" s="42">
        <v>39462</v>
      </c>
      <c r="F48">
        <v>9.4</v>
      </c>
      <c r="G48" t="s">
        <v>359</v>
      </c>
      <c r="I48">
        <v>8.4</v>
      </c>
      <c r="J48">
        <v>10.199999999999999</v>
      </c>
      <c r="K48" t="s">
        <v>359</v>
      </c>
      <c r="L48" t="s">
        <v>359</v>
      </c>
    </row>
    <row r="49" spans="1:12" x14ac:dyDescent="0.35">
      <c r="A49" s="41" t="s">
        <v>44</v>
      </c>
      <c r="B49" s="41" t="s">
        <v>135</v>
      </c>
      <c r="C49" s="41" t="s">
        <v>136</v>
      </c>
      <c r="D49" s="41" t="s">
        <v>11</v>
      </c>
      <c r="E49" s="42">
        <v>43796</v>
      </c>
      <c r="F49">
        <v>9.67</v>
      </c>
      <c r="G49" t="s">
        <v>359</v>
      </c>
      <c r="I49">
        <v>8.4</v>
      </c>
      <c r="J49">
        <v>10.199999999999999</v>
      </c>
      <c r="K49" t="s">
        <v>359</v>
      </c>
      <c r="L49" t="s">
        <v>359</v>
      </c>
    </row>
    <row r="50" spans="1:12" x14ac:dyDescent="0.35">
      <c r="A50" s="41" t="s">
        <v>90</v>
      </c>
      <c r="B50" s="41" t="s">
        <v>64</v>
      </c>
      <c r="C50" s="41" t="s">
        <v>69</v>
      </c>
      <c r="D50" s="41" t="s">
        <v>11</v>
      </c>
      <c r="E50" s="42">
        <v>44625</v>
      </c>
      <c r="F50">
        <v>15</v>
      </c>
      <c r="G50" t="s">
        <v>365</v>
      </c>
      <c r="K50" t="s">
        <v>360</v>
      </c>
      <c r="L50" t="s">
        <v>361</v>
      </c>
    </row>
    <row r="51" spans="1:12" x14ac:dyDescent="0.35">
      <c r="A51" s="41" t="s">
        <v>90</v>
      </c>
      <c r="B51" s="41" t="s">
        <v>67</v>
      </c>
      <c r="C51" s="41" t="s">
        <v>69</v>
      </c>
      <c r="D51" s="41" t="s">
        <v>11</v>
      </c>
      <c r="E51" s="42">
        <v>44625</v>
      </c>
      <c r="F51">
        <v>3</v>
      </c>
      <c r="G51" t="s">
        <v>365</v>
      </c>
      <c r="K51" t="s">
        <v>360</v>
      </c>
      <c r="L51" t="s">
        <v>361</v>
      </c>
    </row>
    <row r="52" spans="1:12" x14ac:dyDescent="0.35">
      <c r="A52" s="41" t="s">
        <v>44</v>
      </c>
      <c r="B52" s="41" t="s">
        <v>139</v>
      </c>
      <c r="C52" s="41" t="s">
        <v>140</v>
      </c>
      <c r="D52" s="41" t="s">
        <v>11</v>
      </c>
      <c r="E52" s="42">
        <v>43796</v>
      </c>
      <c r="F52">
        <v>63</v>
      </c>
      <c r="G52" t="s">
        <v>359</v>
      </c>
      <c r="I52">
        <v>32</v>
      </c>
      <c r="J52">
        <v>294</v>
      </c>
      <c r="K52" t="s">
        <v>359</v>
      </c>
      <c r="L52" t="s">
        <v>359</v>
      </c>
    </row>
    <row r="53" spans="1:12" x14ac:dyDescent="0.35">
      <c r="A53" s="41" t="s">
        <v>92</v>
      </c>
      <c r="B53" s="41" t="s">
        <v>76</v>
      </c>
      <c r="C53" s="41" t="s">
        <v>80</v>
      </c>
      <c r="D53" s="41" t="s">
        <v>71</v>
      </c>
      <c r="E53" s="42">
        <v>44285</v>
      </c>
      <c r="F53">
        <v>165.14</v>
      </c>
      <c r="G53" t="s">
        <v>365</v>
      </c>
      <c r="K53" t="s">
        <v>360</v>
      </c>
      <c r="L53" t="s">
        <v>361</v>
      </c>
    </row>
    <row r="54" spans="1:12" x14ac:dyDescent="0.35">
      <c r="A54" s="41" t="s">
        <v>116</v>
      </c>
      <c r="B54" s="41" t="s">
        <v>119</v>
      </c>
      <c r="C54" s="41" t="s">
        <v>120</v>
      </c>
      <c r="D54" s="41" t="s">
        <v>71</v>
      </c>
      <c r="E54" s="42">
        <v>44281</v>
      </c>
      <c r="F54">
        <v>103</v>
      </c>
      <c r="G54" t="s">
        <v>359</v>
      </c>
      <c r="I54">
        <v>98</v>
      </c>
      <c r="J54">
        <v>107</v>
      </c>
      <c r="K54" t="s">
        <v>359</v>
      </c>
      <c r="L54" t="s">
        <v>359</v>
      </c>
    </row>
    <row r="55" spans="1:12" x14ac:dyDescent="0.35">
      <c r="A55" s="41" t="s">
        <v>44</v>
      </c>
      <c r="B55" s="41" t="s">
        <v>26</v>
      </c>
      <c r="C55" s="41" t="s">
        <v>24</v>
      </c>
      <c r="D55" s="41" t="s">
        <v>11</v>
      </c>
      <c r="E55" s="42">
        <v>44966</v>
      </c>
      <c r="F55">
        <v>101</v>
      </c>
      <c r="G55" t="s">
        <v>359</v>
      </c>
      <c r="I55">
        <v>98</v>
      </c>
      <c r="J55">
        <v>107</v>
      </c>
      <c r="K55" t="s">
        <v>359</v>
      </c>
      <c r="L55" t="s">
        <v>359</v>
      </c>
    </row>
    <row r="56" spans="1:12" x14ac:dyDescent="0.35">
      <c r="A56" s="41" t="s">
        <v>44</v>
      </c>
      <c r="B56" s="41" t="s">
        <v>26</v>
      </c>
      <c r="C56" s="41" t="s">
        <v>24</v>
      </c>
      <c r="D56" s="41" t="s">
        <v>11</v>
      </c>
      <c r="E56" s="42">
        <v>43796</v>
      </c>
      <c r="F56">
        <v>104</v>
      </c>
      <c r="G56" t="s">
        <v>359</v>
      </c>
      <c r="I56">
        <v>98</v>
      </c>
      <c r="J56">
        <v>107</v>
      </c>
      <c r="K56" t="s">
        <v>359</v>
      </c>
      <c r="L56" t="s">
        <v>359</v>
      </c>
    </row>
    <row r="57" spans="1:12" x14ac:dyDescent="0.35">
      <c r="A57" s="41" t="s">
        <v>44</v>
      </c>
      <c r="B57" s="41" t="s">
        <v>26</v>
      </c>
      <c r="C57" s="41"/>
      <c r="D57" s="41" t="s">
        <v>146</v>
      </c>
      <c r="E57" s="42">
        <v>39462</v>
      </c>
      <c r="F57">
        <v>105</v>
      </c>
      <c r="G57" t="s">
        <v>359</v>
      </c>
      <c r="I57">
        <v>98</v>
      </c>
      <c r="J57">
        <v>114</v>
      </c>
      <c r="K57" t="s">
        <v>359</v>
      </c>
      <c r="L57" t="s">
        <v>359</v>
      </c>
    </row>
    <row r="58" spans="1:12" x14ac:dyDescent="0.35">
      <c r="A58" s="41" t="s">
        <v>44</v>
      </c>
      <c r="B58" s="41" t="s">
        <v>2</v>
      </c>
      <c r="C58" s="41" t="s">
        <v>16</v>
      </c>
      <c r="D58" s="41" t="s">
        <v>11</v>
      </c>
      <c r="E58" s="42">
        <v>44625</v>
      </c>
      <c r="F58">
        <v>67</v>
      </c>
      <c r="G58" t="s">
        <v>364</v>
      </c>
      <c r="I58">
        <v>60</v>
      </c>
      <c r="K58" t="s">
        <v>359</v>
      </c>
      <c r="L58" t="s">
        <v>361</v>
      </c>
    </row>
    <row r="59" spans="1:12" x14ac:dyDescent="0.35">
      <c r="A59" s="41" t="s">
        <v>44</v>
      </c>
      <c r="B59" s="41" t="s">
        <v>2</v>
      </c>
      <c r="C59" s="41" t="s">
        <v>16</v>
      </c>
      <c r="D59" s="41" t="s">
        <v>11</v>
      </c>
      <c r="E59" s="42">
        <v>44966</v>
      </c>
      <c r="F59">
        <v>69</v>
      </c>
      <c r="G59" t="s">
        <v>364</v>
      </c>
      <c r="I59">
        <v>60</v>
      </c>
      <c r="K59" t="s">
        <v>359</v>
      </c>
      <c r="L59" t="s">
        <v>361</v>
      </c>
    </row>
    <row r="60" spans="1:12" x14ac:dyDescent="0.35">
      <c r="A60" s="41" t="s">
        <v>44</v>
      </c>
      <c r="B60" s="41" t="s">
        <v>2</v>
      </c>
      <c r="C60" s="41"/>
      <c r="D60" s="41" t="s">
        <v>146</v>
      </c>
      <c r="E60" s="42">
        <v>39462</v>
      </c>
      <c r="F60">
        <v>70</v>
      </c>
      <c r="G60" t="s">
        <v>359</v>
      </c>
      <c r="I60">
        <v>30</v>
      </c>
      <c r="J60">
        <v>70</v>
      </c>
      <c r="K60" t="s">
        <v>359</v>
      </c>
      <c r="L60" t="s">
        <v>359</v>
      </c>
    </row>
    <row r="61" spans="1:12" x14ac:dyDescent="0.35">
      <c r="A61" s="41" t="s">
        <v>44</v>
      </c>
      <c r="B61" s="41" t="s">
        <v>2</v>
      </c>
      <c r="C61" s="41" t="s">
        <v>21</v>
      </c>
      <c r="D61" s="41" t="s">
        <v>4</v>
      </c>
      <c r="E61" s="42">
        <v>44259</v>
      </c>
      <c r="F61">
        <v>76</v>
      </c>
      <c r="G61" t="s">
        <v>364</v>
      </c>
      <c r="I61">
        <v>40</v>
      </c>
      <c r="K61" t="s">
        <v>359</v>
      </c>
      <c r="L61" t="s">
        <v>361</v>
      </c>
    </row>
    <row r="62" spans="1:12" x14ac:dyDescent="0.35">
      <c r="A62" s="41" t="s">
        <v>44</v>
      </c>
      <c r="B62" s="41" t="s">
        <v>2</v>
      </c>
      <c r="C62" s="41" t="s">
        <v>21</v>
      </c>
      <c r="D62" s="41" t="s">
        <v>4</v>
      </c>
      <c r="E62" s="42">
        <v>45022</v>
      </c>
      <c r="F62">
        <v>80</v>
      </c>
      <c r="G62" t="s">
        <v>364</v>
      </c>
      <c r="I62">
        <v>40</v>
      </c>
      <c r="K62" t="s">
        <v>359</v>
      </c>
      <c r="L62" t="s">
        <v>361</v>
      </c>
    </row>
    <row r="63" spans="1:12" x14ac:dyDescent="0.35">
      <c r="A63" s="41" t="s">
        <v>44</v>
      </c>
      <c r="B63" s="41" t="s">
        <v>3</v>
      </c>
      <c r="C63" s="41" t="s">
        <v>22</v>
      </c>
      <c r="D63" s="41" t="s">
        <v>4</v>
      </c>
      <c r="E63" s="42">
        <v>45022</v>
      </c>
      <c r="F63">
        <v>90</v>
      </c>
      <c r="G63" t="s">
        <v>359</v>
      </c>
      <c r="J63">
        <v>116</v>
      </c>
      <c r="K63" t="s">
        <v>360</v>
      </c>
      <c r="L63" t="s">
        <v>359</v>
      </c>
    </row>
    <row r="64" spans="1:12" x14ac:dyDescent="0.35">
      <c r="A64" s="41" t="s">
        <v>44</v>
      </c>
      <c r="B64" s="41" t="s">
        <v>3</v>
      </c>
      <c r="C64" s="41" t="s">
        <v>22</v>
      </c>
      <c r="D64" s="41" t="s">
        <v>4</v>
      </c>
      <c r="E64" s="42">
        <v>44259</v>
      </c>
      <c r="F64">
        <v>100</v>
      </c>
      <c r="G64" t="s">
        <v>359</v>
      </c>
      <c r="J64">
        <v>116</v>
      </c>
      <c r="K64" t="s">
        <v>360</v>
      </c>
      <c r="L64" t="s">
        <v>359</v>
      </c>
    </row>
    <row r="65" spans="1:12" x14ac:dyDescent="0.35">
      <c r="A65" s="41" t="s">
        <v>44</v>
      </c>
      <c r="B65" s="41" t="s">
        <v>3</v>
      </c>
      <c r="C65" s="41" t="s">
        <v>16</v>
      </c>
      <c r="D65" s="41" t="s">
        <v>11</v>
      </c>
      <c r="E65" s="42">
        <v>44625</v>
      </c>
      <c r="F65">
        <v>102</v>
      </c>
      <c r="G65" t="s">
        <v>359</v>
      </c>
      <c r="J65">
        <v>130</v>
      </c>
      <c r="K65" t="s">
        <v>360</v>
      </c>
      <c r="L65" t="s">
        <v>359</v>
      </c>
    </row>
    <row r="66" spans="1:12" x14ac:dyDescent="0.35">
      <c r="A66" s="41" t="s">
        <v>44</v>
      </c>
      <c r="B66" s="41" t="s">
        <v>3</v>
      </c>
      <c r="C66" s="41"/>
      <c r="D66" s="41" t="s">
        <v>146</v>
      </c>
      <c r="E66" s="42">
        <v>39462</v>
      </c>
      <c r="F66">
        <v>103.6</v>
      </c>
      <c r="G66" t="s">
        <v>359</v>
      </c>
      <c r="J66">
        <v>130</v>
      </c>
      <c r="K66" t="s">
        <v>360</v>
      </c>
      <c r="L66" t="s">
        <v>359</v>
      </c>
    </row>
    <row r="67" spans="1:12" x14ac:dyDescent="0.35">
      <c r="A67" s="41" t="s">
        <v>44</v>
      </c>
      <c r="B67" s="41" t="s">
        <v>3</v>
      </c>
      <c r="C67" s="41" t="s">
        <v>16</v>
      </c>
      <c r="D67" s="41" t="s">
        <v>11</v>
      </c>
      <c r="E67" s="42">
        <v>44966</v>
      </c>
      <c r="F67">
        <v>106</v>
      </c>
      <c r="G67" t="s">
        <v>359</v>
      </c>
      <c r="J67">
        <v>130</v>
      </c>
      <c r="K67" t="s">
        <v>360</v>
      </c>
      <c r="L67" t="s">
        <v>359</v>
      </c>
    </row>
    <row r="68" spans="1:12" x14ac:dyDescent="0.35">
      <c r="A68" s="41" t="s">
        <v>44</v>
      </c>
      <c r="B68" s="41" t="s">
        <v>145</v>
      </c>
      <c r="C68" s="41"/>
      <c r="D68" s="41" t="s">
        <v>143</v>
      </c>
      <c r="E68" s="42">
        <v>41291</v>
      </c>
      <c r="F68">
        <v>95</v>
      </c>
      <c r="G68" t="s">
        <v>359</v>
      </c>
      <c r="J68">
        <v>130</v>
      </c>
      <c r="K68" t="s">
        <v>360</v>
      </c>
      <c r="L68" t="s">
        <v>359</v>
      </c>
    </row>
    <row r="69" spans="1:12" x14ac:dyDescent="0.35">
      <c r="A69" s="41" t="s">
        <v>106</v>
      </c>
      <c r="B69" s="41" t="s">
        <v>109</v>
      </c>
      <c r="C69" s="41" t="s">
        <v>110</v>
      </c>
      <c r="D69" s="41" t="s">
        <v>71</v>
      </c>
      <c r="E69" s="42">
        <v>43675</v>
      </c>
      <c r="F69">
        <v>64</v>
      </c>
      <c r="G69" t="s">
        <v>364</v>
      </c>
      <c r="I69">
        <v>35</v>
      </c>
      <c r="J69">
        <v>55</v>
      </c>
      <c r="K69" t="s">
        <v>359</v>
      </c>
      <c r="L69">
        <v>9</v>
      </c>
    </row>
    <row r="70" spans="1:12" x14ac:dyDescent="0.35">
      <c r="A70" s="41" t="s">
        <v>106</v>
      </c>
      <c r="B70" s="41" t="s">
        <v>109</v>
      </c>
      <c r="C70" s="41"/>
      <c r="D70" s="41" t="s">
        <v>142</v>
      </c>
      <c r="E70" s="42">
        <v>42478</v>
      </c>
      <c r="F70">
        <v>65</v>
      </c>
      <c r="G70" t="s">
        <v>364</v>
      </c>
      <c r="I70">
        <v>45</v>
      </c>
      <c r="K70" t="s">
        <v>359</v>
      </c>
      <c r="L70" t="s">
        <v>361</v>
      </c>
    </row>
    <row r="71" spans="1:12" x14ac:dyDescent="0.35">
      <c r="A71" s="41" t="s">
        <v>106</v>
      </c>
      <c r="B71" s="41" t="s">
        <v>109</v>
      </c>
      <c r="C71" s="41"/>
      <c r="D71" s="41" t="s">
        <v>142</v>
      </c>
      <c r="E71" s="42">
        <v>42984</v>
      </c>
      <c r="F71">
        <v>66</v>
      </c>
      <c r="G71" t="s">
        <v>364</v>
      </c>
      <c r="I71">
        <v>45</v>
      </c>
      <c r="K71" t="s">
        <v>359</v>
      </c>
      <c r="L71" t="s">
        <v>361</v>
      </c>
    </row>
    <row r="72" spans="1:12" x14ac:dyDescent="0.35">
      <c r="A72" s="41" t="s">
        <v>106</v>
      </c>
      <c r="B72" s="41" t="s">
        <v>109</v>
      </c>
      <c r="C72" s="41" t="s">
        <v>110</v>
      </c>
      <c r="D72" s="41" t="s">
        <v>71</v>
      </c>
      <c r="E72" s="42">
        <v>44281</v>
      </c>
      <c r="F72">
        <v>79</v>
      </c>
      <c r="G72" t="s">
        <v>364</v>
      </c>
      <c r="I72">
        <v>35</v>
      </c>
      <c r="J72">
        <v>55</v>
      </c>
      <c r="K72" t="s">
        <v>359</v>
      </c>
      <c r="L72">
        <v>24</v>
      </c>
    </row>
    <row r="73" spans="1:12" x14ac:dyDescent="0.35">
      <c r="A73" s="41" t="s">
        <v>106</v>
      </c>
      <c r="B73" s="41" t="s">
        <v>1</v>
      </c>
      <c r="C73" s="41" t="s">
        <v>107</v>
      </c>
      <c r="D73" s="41" t="s">
        <v>71</v>
      </c>
      <c r="E73" s="42">
        <v>43675</v>
      </c>
      <c r="F73">
        <v>173</v>
      </c>
      <c r="G73" t="s">
        <v>359</v>
      </c>
      <c r="J73">
        <v>190</v>
      </c>
      <c r="K73" t="s">
        <v>360</v>
      </c>
      <c r="L73" t="s">
        <v>359</v>
      </c>
    </row>
    <row r="74" spans="1:12" x14ac:dyDescent="0.35">
      <c r="A74" s="41" t="s">
        <v>106</v>
      </c>
      <c r="B74" s="41" t="s">
        <v>1</v>
      </c>
      <c r="C74" s="41" t="s">
        <v>16</v>
      </c>
      <c r="D74" s="41" t="s">
        <v>11</v>
      </c>
      <c r="E74" s="42">
        <v>43796</v>
      </c>
      <c r="F74">
        <v>182</v>
      </c>
      <c r="G74" t="s">
        <v>359</v>
      </c>
      <c r="J74">
        <v>300</v>
      </c>
      <c r="K74" t="s">
        <v>360</v>
      </c>
      <c r="L74" t="s">
        <v>359</v>
      </c>
    </row>
    <row r="75" spans="1:12" x14ac:dyDescent="0.35">
      <c r="A75" s="41" t="s">
        <v>106</v>
      </c>
      <c r="B75" s="41" t="s">
        <v>1</v>
      </c>
      <c r="C75" s="41"/>
      <c r="D75" s="41" t="s">
        <v>142</v>
      </c>
      <c r="E75" s="42">
        <v>42984</v>
      </c>
      <c r="F75">
        <v>182</v>
      </c>
      <c r="G75" t="s">
        <v>359</v>
      </c>
      <c r="J75">
        <v>190</v>
      </c>
      <c r="K75" t="s">
        <v>360</v>
      </c>
      <c r="L75" t="s">
        <v>359</v>
      </c>
    </row>
    <row r="76" spans="1:12" x14ac:dyDescent="0.35">
      <c r="A76" s="41" t="s">
        <v>106</v>
      </c>
      <c r="B76" s="41" t="s">
        <v>1</v>
      </c>
      <c r="C76" s="41"/>
      <c r="D76" s="41" t="s">
        <v>143</v>
      </c>
      <c r="E76" s="42">
        <v>41291</v>
      </c>
      <c r="F76">
        <v>184</v>
      </c>
      <c r="G76" t="s">
        <v>359</v>
      </c>
      <c r="J76">
        <v>200</v>
      </c>
      <c r="K76" t="s">
        <v>360</v>
      </c>
      <c r="L76" t="s">
        <v>359</v>
      </c>
    </row>
    <row r="77" spans="1:12" x14ac:dyDescent="0.35">
      <c r="A77" s="41" t="s">
        <v>106</v>
      </c>
      <c r="B77" s="41" t="s">
        <v>1</v>
      </c>
      <c r="C77" s="41" t="s">
        <v>16</v>
      </c>
      <c r="D77" s="41" t="s">
        <v>11</v>
      </c>
      <c r="E77" s="42">
        <v>44966</v>
      </c>
      <c r="F77">
        <v>187</v>
      </c>
      <c r="G77" t="s">
        <v>359</v>
      </c>
      <c r="J77">
        <v>300</v>
      </c>
      <c r="K77" t="s">
        <v>360</v>
      </c>
      <c r="L77" t="s">
        <v>359</v>
      </c>
    </row>
    <row r="78" spans="1:12" x14ac:dyDescent="0.35">
      <c r="A78" s="41" t="s">
        <v>106</v>
      </c>
      <c r="B78" s="41" t="s">
        <v>1</v>
      </c>
      <c r="C78" s="41" t="s">
        <v>16</v>
      </c>
      <c r="D78" s="41" t="s">
        <v>11</v>
      </c>
      <c r="E78" s="42">
        <v>44625</v>
      </c>
      <c r="F78">
        <v>187</v>
      </c>
      <c r="G78" t="s">
        <v>359</v>
      </c>
      <c r="J78">
        <v>300</v>
      </c>
      <c r="K78" t="s">
        <v>360</v>
      </c>
      <c r="L78" t="s">
        <v>359</v>
      </c>
    </row>
    <row r="79" spans="1:12" x14ac:dyDescent="0.35">
      <c r="A79" s="41" t="s">
        <v>106</v>
      </c>
      <c r="B79" s="41" t="s">
        <v>1</v>
      </c>
      <c r="C79" s="41" t="s">
        <v>18</v>
      </c>
      <c r="D79" s="41" t="s">
        <v>4</v>
      </c>
      <c r="E79" s="42">
        <v>45022</v>
      </c>
      <c r="F79">
        <v>188</v>
      </c>
      <c r="G79" t="s">
        <v>359</v>
      </c>
      <c r="J79">
        <v>190</v>
      </c>
      <c r="K79" t="s">
        <v>360</v>
      </c>
      <c r="L79" t="s">
        <v>359</v>
      </c>
    </row>
    <row r="80" spans="1:12" x14ac:dyDescent="0.35">
      <c r="A80" s="41" t="s">
        <v>106</v>
      </c>
      <c r="B80" s="41" t="s">
        <v>1</v>
      </c>
      <c r="C80" s="41"/>
      <c r="D80" s="41" t="s">
        <v>142</v>
      </c>
      <c r="E80" s="42">
        <v>42478</v>
      </c>
      <c r="F80">
        <v>189</v>
      </c>
      <c r="G80" t="s">
        <v>359</v>
      </c>
      <c r="J80">
        <v>190</v>
      </c>
      <c r="K80" t="s">
        <v>360</v>
      </c>
      <c r="L80" t="s">
        <v>359</v>
      </c>
    </row>
    <row r="81" spans="1:12" x14ac:dyDescent="0.35">
      <c r="A81" s="41" t="s">
        <v>106</v>
      </c>
      <c r="B81" s="41" t="s">
        <v>1</v>
      </c>
      <c r="C81" s="41" t="s">
        <v>18</v>
      </c>
      <c r="D81" s="41" t="s">
        <v>4</v>
      </c>
      <c r="E81" s="42">
        <v>44259</v>
      </c>
      <c r="F81">
        <v>195</v>
      </c>
      <c r="G81" t="s">
        <v>364</v>
      </c>
      <c r="J81">
        <v>190</v>
      </c>
      <c r="K81" t="s">
        <v>360</v>
      </c>
      <c r="L81">
        <v>5</v>
      </c>
    </row>
    <row r="82" spans="1:12" x14ac:dyDescent="0.35">
      <c r="A82" s="41" t="s">
        <v>106</v>
      </c>
      <c r="B82" s="41" t="s">
        <v>1</v>
      </c>
      <c r="C82" s="41"/>
      <c r="D82" s="41" t="s">
        <v>146</v>
      </c>
      <c r="E82" s="42">
        <v>39462</v>
      </c>
      <c r="F82">
        <v>195</v>
      </c>
      <c r="G82" t="s">
        <v>359</v>
      </c>
      <c r="I82">
        <v>112</v>
      </c>
      <c r="J82">
        <v>200</v>
      </c>
      <c r="K82" t="s">
        <v>359</v>
      </c>
      <c r="L82" t="s">
        <v>359</v>
      </c>
    </row>
    <row r="83" spans="1:12" x14ac:dyDescent="0.35">
      <c r="A83" s="41" t="s">
        <v>106</v>
      </c>
      <c r="B83" s="41" t="s">
        <v>1</v>
      </c>
      <c r="C83" s="41" t="s">
        <v>107</v>
      </c>
      <c r="D83" s="41" t="s">
        <v>71</v>
      </c>
      <c r="E83" s="42">
        <v>44281</v>
      </c>
      <c r="F83">
        <v>217</v>
      </c>
      <c r="G83" t="s">
        <v>364</v>
      </c>
      <c r="J83">
        <v>190</v>
      </c>
      <c r="K83" t="s">
        <v>360</v>
      </c>
      <c r="L83">
        <v>27</v>
      </c>
    </row>
    <row r="84" spans="1:12" x14ac:dyDescent="0.35">
      <c r="A84" s="41" t="s">
        <v>106</v>
      </c>
      <c r="B84" s="41" t="s">
        <v>144</v>
      </c>
      <c r="C84" s="41"/>
      <c r="D84" s="41" t="s">
        <v>143</v>
      </c>
      <c r="E84" s="42">
        <v>41291</v>
      </c>
      <c r="F84">
        <v>12</v>
      </c>
      <c r="G84" t="s">
        <v>365</v>
      </c>
      <c r="K84" t="s">
        <v>360</v>
      </c>
      <c r="L84" t="s">
        <v>361</v>
      </c>
    </row>
    <row r="85" spans="1:12" x14ac:dyDescent="0.35">
      <c r="A85" s="41" t="s">
        <v>90</v>
      </c>
      <c r="B85" s="41" t="s">
        <v>45</v>
      </c>
      <c r="C85" s="41" t="s">
        <v>68</v>
      </c>
      <c r="D85" s="41" t="s">
        <v>11</v>
      </c>
      <c r="E85" s="42">
        <v>44625</v>
      </c>
      <c r="F85" t="s">
        <v>56</v>
      </c>
      <c r="G85" t="s">
        <v>365</v>
      </c>
      <c r="K85" t="s">
        <v>360</v>
      </c>
      <c r="L85" t="s">
        <v>361</v>
      </c>
    </row>
    <row r="86" spans="1:12" x14ac:dyDescent="0.35">
      <c r="A86" s="41" t="s">
        <v>90</v>
      </c>
      <c r="B86" s="41" t="s">
        <v>50</v>
      </c>
      <c r="C86" s="41" t="s">
        <v>68</v>
      </c>
      <c r="D86" s="41" t="s">
        <v>11</v>
      </c>
      <c r="E86" s="42">
        <v>44625</v>
      </c>
      <c r="F86" t="s">
        <v>60</v>
      </c>
      <c r="G86" t="s">
        <v>365</v>
      </c>
      <c r="K86" t="s">
        <v>360</v>
      </c>
      <c r="L86" t="s">
        <v>361</v>
      </c>
    </row>
    <row r="87" spans="1:12" x14ac:dyDescent="0.35">
      <c r="A87" s="41" t="s">
        <v>90</v>
      </c>
      <c r="B87" s="41" t="s">
        <v>50</v>
      </c>
      <c r="C87" s="41" t="s">
        <v>123</v>
      </c>
      <c r="D87" s="41" t="s">
        <v>71</v>
      </c>
      <c r="E87" s="42">
        <v>44281</v>
      </c>
      <c r="F87" t="s">
        <v>33</v>
      </c>
      <c r="G87" t="s">
        <v>366</v>
      </c>
      <c r="K87" t="s">
        <v>360</v>
      </c>
      <c r="L87" t="s">
        <v>361</v>
      </c>
    </row>
    <row r="88" spans="1:12" x14ac:dyDescent="0.35">
      <c r="A88" s="41" t="s">
        <v>44</v>
      </c>
      <c r="B88" s="41" t="s">
        <v>12</v>
      </c>
      <c r="C88" s="41" t="s">
        <v>16</v>
      </c>
      <c r="D88" s="41" t="s">
        <v>143</v>
      </c>
      <c r="E88" s="42">
        <v>41291</v>
      </c>
      <c r="F88">
        <v>0.76</v>
      </c>
      <c r="G88" t="s">
        <v>359</v>
      </c>
      <c r="I88">
        <v>0.66</v>
      </c>
      <c r="J88">
        <v>1.25</v>
      </c>
      <c r="K88" t="s">
        <v>359</v>
      </c>
      <c r="L88" t="s">
        <v>359</v>
      </c>
    </row>
    <row r="89" spans="1:12" x14ac:dyDescent="0.35">
      <c r="A89" s="41" t="s">
        <v>44</v>
      </c>
      <c r="B89" s="41" t="s">
        <v>12</v>
      </c>
      <c r="C89" s="41" t="s">
        <v>16</v>
      </c>
      <c r="D89" s="41" t="s">
        <v>11</v>
      </c>
      <c r="E89" s="42">
        <v>43796</v>
      </c>
      <c r="F89">
        <v>0.82</v>
      </c>
      <c r="G89" t="s">
        <v>359</v>
      </c>
      <c r="I89">
        <v>0.8</v>
      </c>
      <c r="J89">
        <v>1.3</v>
      </c>
      <c r="K89" t="s">
        <v>359</v>
      </c>
      <c r="L89" t="s">
        <v>359</v>
      </c>
    </row>
    <row r="90" spans="1:12" x14ac:dyDescent="0.35">
      <c r="A90" s="41" t="s">
        <v>44</v>
      </c>
      <c r="B90" s="41" t="s">
        <v>12</v>
      </c>
      <c r="C90" s="41" t="s">
        <v>16</v>
      </c>
      <c r="D90" s="41" t="s">
        <v>11</v>
      </c>
      <c r="E90" s="42">
        <v>44966</v>
      </c>
      <c r="F90">
        <v>0.85</v>
      </c>
      <c r="G90" t="s">
        <v>359</v>
      </c>
      <c r="I90">
        <v>0.6</v>
      </c>
      <c r="J90">
        <v>1.2</v>
      </c>
      <c r="K90" t="s">
        <v>359</v>
      </c>
      <c r="L90" t="s">
        <v>359</v>
      </c>
    </row>
    <row r="91" spans="1:12" x14ac:dyDescent="0.35">
      <c r="A91" s="41" t="s">
        <v>44</v>
      </c>
      <c r="B91" s="41" t="s">
        <v>12</v>
      </c>
      <c r="C91" s="41"/>
      <c r="D91" s="41" t="s">
        <v>146</v>
      </c>
      <c r="E91" s="42">
        <v>39462</v>
      </c>
      <c r="F91">
        <v>0.9</v>
      </c>
      <c r="G91" t="s">
        <v>359</v>
      </c>
      <c r="I91">
        <v>0.6</v>
      </c>
      <c r="J91">
        <v>1.4</v>
      </c>
      <c r="K91" t="s">
        <v>359</v>
      </c>
      <c r="L91" t="s">
        <v>359</v>
      </c>
    </row>
    <row r="92" spans="1:12" x14ac:dyDescent="0.35">
      <c r="A92" s="41" t="s">
        <v>44</v>
      </c>
      <c r="B92" s="41" t="s">
        <v>12</v>
      </c>
      <c r="C92" s="41" t="s">
        <v>16</v>
      </c>
      <c r="D92" s="41" t="s">
        <v>11</v>
      </c>
      <c r="E92" s="42">
        <v>44625</v>
      </c>
      <c r="F92">
        <v>0.97</v>
      </c>
      <c r="G92" t="s">
        <v>359</v>
      </c>
      <c r="I92">
        <v>0.6</v>
      </c>
      <c r="J92">
        <v>1.2</v>
      </c>
      <c r="K92" t="s">
        <v>359</v>
      </c>
      <c r="L92" t="s">
        <v>359</v>
      </c>
    </row>
    <row r="93" spans="1:12" x14ac:dyDescent="0.35">
      <c r="A93" s="41" t="s">
        <v>44</v>
      </c>
      <c r="B93" s="41" t="s">
        <v>29</v>
      </c>
      <c r="C93" s="41" t="s">
        <v>28</v>
      </c>
      <c r="D93" s="41" t="s">
        <v>11</v>
      </c>
      <c r="E93" s="42">
        <v>45591</v>
      </c>
      <c r="F93">
        <v>25</v>
      </c>
      <c r="G93" t="s">
        <v>359</v>
      </c>
      <c r="I93">
        <v>10</v>
      </c>
      <c r="J93">
        <v>49</v>
      </c>
      <c r="K93" t="s">
        <v>359</v>
      </c>
      <c r="L93" t="s">
        <v>359</v>
      </c>
    </row>
    <row r="94" spans="1:12" x14ac:dyDescent="0.35">
      <c r="A94" s="41" t="s">
        <v>92</v>
      </c>
      <c r="B94" s="41" t="s">
        <v>74</v>
      </c>
      <c r="C94" s="41" t="s">
        <v>80</v>
      </c>
      <c r="D94" s="41" t="s">
        <v>71</v>
      </c>
      <c r="E94" s="42">
        <v>44285</v>
      </c>
      <c r="F94">
        <v>0.89</v>
      </c>
      <c r="G94" t="s">
        <v>359</v>
      </c>
      <c r="I94">
        <v>0.8</v>
      </c>
      <c r="J94">
        <v>1.3</v>
      </c>
      <c r="K94" t="s">
        <v>359</v>
      </c>
      <c r="L94" t="s">
        <v>359</v>
      </c>
    </row>
    <row r="95" spans="1:12" x14ac:dyDescent="0.35">
      <c r="A95" s="41" t="s">
        <v>115</v>
      </c>
      <c r="B95" s="41" t="s">
        <v>74</v>
      </c>
      <c r="C95" s="41" t="s">
        <v>79</v>
      </c>
      <c r="D95" s="41" t="s">
        <v>71</v>
      </c>
      <c r="E95" s="42">
        <v>44281</v>
      </c>
      <c r="F95">
        <v>0.95</v>
      </c>
      <c r="G95" t="s">
        <v>359</v>
      </c>
      <c r="I95">
        <v>0.7</v>
      </c>
      <c r="J95">
        <v>1.3</v>
      </c>
      <c r="K95" t="s">
        <v>359</v>
      </c>
      <c r="L95" t="s">
        <v>359</v>
      </c>
    </row>
    <row r="96" spans="1:12" x14ac:dyDescent="0.35">
      <c r="A96" s="41" t="s">
        <v>92</v>
      </c>
      <c r="B96" s="41" t="s">
        <v>75</v>
      </c>
      <c r="C96" s="41" t="s">
        <v>80</v>
      </c>
      <c r="D96" s="41" t="s">
        <v>71</v>
      </c>
      <c r="E96" s="42">
        <v>44285</v>
      </c>
      <c r="F96">
        <v>184.9</v>
      </c>
      <c r="G96" t="s">
        <v>365</v>
      </c>
      <c r="K96" t="s">
        <v>360</v>
      </c>
      <c r="L96" t="s">
        <v>361</v>
      </c>
    </row>
    <row r="97" spans="1:12" x14ac:dyDescent="0.35">
      <c r="A97" s="41" t="s">
        <v>90</v>
      </c>
      <c r="B97" s="41" t="s">
        <v>55</v>
      </c>
      <c r="C97" s="41" t="s">
        <v>69</v>
      </c>
      <c r="D97" s="41" t="s">
        <v>11</v>
      </c>
      <c r="E97" s="42">
        <v>44625</v>
      </c>
      <c r="F97" t="s">
        <v>61</v>
      </c>
      <c r="G97" t="s">
        <v>365</v>
      </c>
      <c r="K97" t="s">
        <v>360</v>
      </c>
      <c r="L97" t="s">
        <v>361</v>
      </c>
    </row>
    <row r="98" spans="1:12" x14ac:dyDescent="0.35">
      <c r="A98" s="41" t="s">
        <v>92</v>
      </c>
      <c r="B98" s="41" t="s">
        <v>77</v>
      </c>
      <c r="C98" s="41" t="s">
        <v>80</v>
      </c>
      <c r="D98" s="41" t="s">
        <v>71</v>
      </c>
      <c r="E98" s="42">
        <v>44285</v>
      </c>
      <c r="F98">
        <v>0.8</v>
      </c>
      <c r="G98" t="s">
        <v>365</v>
      </c>
      <c r="K98" t="s">
        <v>360</v>
      </c>
      <c r="L98" t="s">
        <v>361</v>
      </c>
    </row>
    <row r="99" spans="1:12" x14ac:dyDescent="0.35">
      <c r="A99" s="41" t="s">
        <v>90</v>
      </c>
      <c r="B99" s="41" t="s">
        <v>48</v>
      </c>
      <c r="C99" s="41" t="s">
        <v>123</v>
      </c>
      <c r="D99" s="41" t="s">
        <v>71</v>
      </c>
      <c r="E99" s="42">
        <v>44281</v>
      </c>
      <c r="F99">
        <v>1.0249999999999999</v>
      </c>
      <c r="G99" t="s">
        <v>359</v>
      </c>
      <c r="I99">
        <v>1.01</v>
      </c>
      <c r="J99">
        <v>1.0249999999999999</v>
      </c>
      <c r="K99" t="s">
        <v>359</v>
      </c>
      <c r="L99" t="s">
        <v>359</v>
      </c>
    </row>
    <row r="100" spans="1:12" x14ac:dyDescent="0.35">
      <c r="A100" s="41" t="s">
        <v>90</v>
      </c>
      <c r="B100" s="41" t="s">
        <v>48</v>
      </c>
      <c r="C100" s="41" t="s">
        <v>68</v>
      </c>
      <c r="D100" s="41" t="s">
        <v>11</v>
      </c>
      <c r="E100" s="42">
        <v>44625</v>
      </c>
      <c r="F100">
        <v>1.026</v>
      </c>
      <c r="G100" t="s">
        <v>359</v>
      </c>
      <c r="I100">
        <v>1.002</v>
      </c>
      <c r="J100">
        <v>1.03</v>
      </c>
      <c r="K100" t="s">
        <v>359</v>
      </c>
      <c r="L100" t="s">
        <v>359</v>
      </c>
    </row>
    <row r="101" spans="1:12" x14ac:dyDescent="0.35">
      <c r="A101" s="41" t="s">
        <v>90</v>
      </c>
      <c r="B101" s="41" t="s">
        <v>48</v>
      </c>
      <c r="C101" s="41"/>
      <c r="D101" s="41" t="s">
        <v>146</v>
      </c>
      <c r="E101" s="42">
        <v>39462</v>
      </c>
      <c r="F101">
        <v>1.032</v>
      </c>
      <c r="G101" t="s">
        <v>365</v>
      </c>
      <c r="K101" t="s">
        <v>360</v>
      </c>
      <c r="L101" t="s">
        <v>361</v>
      </c>
    </row>
    <row r="102" spans="1:12" x14ac:dyDescent="0.35">
      <c r="A102" s="41" t="s">
        <v>97</v>
      </c>
      <c r="B102" s="41" t="s">
        <v>100</v>
      </c>
      <c r="C102" s="41"/>
      <c r="D102" s="41" t="s">
        <v>11</v>
      </c>
      <c r="E102" s="42">
        <v>45591</v>
      </c>
      <c r="F102">
        <v>0.05</v>
      </c>
      <c r="G102" t="s">
        <v>359</v>
      </c>
      <c r="I102">
        <v>0.01</v>
      </c>
      <c r="J102">
        <v>0.08</v>
      </c>
      <c r="K102" t="s">
        <v>359</v>
      </c>
      <c r="L102" t="s">
        <v>359</v>
      </c>
    </row>
    <row r="103" spans="1:12" x14ac:dyDescent="0.35">
      <c r="A103" s="41" t="s">
        <v>44</v>
      </c>
      <c r="B103" s="41" t="s">
        <v>186</v>
      </c>
      <c r="C103" s="41"/>
      <c r="D103" s="41" t="s">
        <v>146</v>
      </c>
      <c r="E103" s="42">
        <v>39462</v>
      </c>
      <c r="F103">
        <v>129</v>
      </c>
      <c r="G103" t="s">
        <v>359</v>
      </c>
      <c r="I103">
        <v>125</v>
      </c>
      <c r="J103">
        <v>243</v>
      </c>
      <c r="K103" t="s">
        <v>359</v>
      </c>
      <c r="L103" t="s">
        <v>359</v>
      </c>
    </row>
    <row r="104" spans="1:12" x14ac:dyDescent="0.35">
      <c r="A104" s="41" t="s">
        <v>93</v>
      </c>
      <c r="B104" s="41" t="s">
        <v>83</v>
      </c>
      <c r="C104" s="41" t="s">
        <v>85</v>
      </c>
      <c r="D104" s="41" t="s">
        <v>71</v>
      </c>
      <c r="E104" s="42">
        <v>44285</v>
      </c>
      <c r="F104">
        <v>246</v>
      </c>
      <c r="G104" t="s">
        <v>359</v>
      </c>
      <c r="J104">
        <v>390</v>
      </c>
      <c r="K104" t="s">
        <v>360</v>
      </c>
      <c r="L104" t="s">
        <v>359</v>
      </c>
    </row>
    <row r="105" spans="1:12" x14ac:dyDescent="0.35">
      <c r="A105" s="41" t="s">
        <v>97</v>
      </c>
      <c r="B105" s="41" t="s">
        <v>128</v>
      </c>
      <c r="C105" s="41"/>
      <c r="D105" s="41" t="s">
        <v>11</v>
      </c>
      <c r="E105" s="42">
        <v>45591</v>
      </c>
      <c r="F105">
        <v>1.2E-2</v>
      </c>
      <c r="G105" t="s">
        <v>359</v>
      </c>
      <c r="H105" t="s">
        <v>363</v>
      </c>
      <c r="I105">
        <v>0</v>
      </c>
      <c r="J105">
        <v>0.02</v>
      </c>
      <c r="K105" t="s">
        <v>359</v>
      </c>
      <c r="L105" t="s">
        <v>359</v>
      </c>
    </row>
    <row r="106" spans="1:12" x14ac:dyDescent="0.35">
      <c r="A106" s="41" t="s">
        <v>97</v>
      </c>
      <c r="B106" s="41" t="s">
        <v>99</v>
      </c>
      <c r="C106" s="41"/>
      <c r="D106" s="41" t="s">
        <v>11</v>
      </c>
      <c r="E106" s="42">
        <v>43796</v>
      </c>
      <c r="F106">
        <v>0</v>
      </c>
      <c r="G106" t="s">
        <v>364</v>
      </c>
      <c r="I106">
        <v>0.03</v>
      </c>
      <c r="J106">
        <v>0.48</v>
      </c>
      <c r="K106">
        <v>-0.03</v>
      </c>
      <c r="L106" t="s">
        <v>359</v>
      </c>
    </row>
    <row r="107" spans="1:12" x14ac:dyDescent="0.35">
      <c r="A107" s="41" t="s">
        <v>97</v>
      </c>
      <c r="B107" s="41" t="s">
        <v>127</v>
      </c>
      <c r="C107" s="41"/>
      <c r="D107" s="41" t="s">
        <v>11</v>
      </c>
      <c r="E107" s="42">
        <v>43796</v>
      </c>
      <c r="F107">
        <v>0</v>
      </c>
      <c r="G107" t="s">
        <v>364</v>
      </c>
      <c r="H107" t="s">
        <v>363</v>
      </c>
      <c r="I107">
        <v>0.01</v>
      </c>
      <c r="J107">
        <v>0.06</v>
      </c>
      <c r="K107">
        <v>-0.01</v>
      </c>
      <c r="L107" t="s">
        <v>359</v>
      </c>
    </row>
    <row r="108" spans="1:12" x14ac:dyDescent="0.35">
      <c r="A108" s="41" t="s">
        <v>97</v>
      </c>
      <c r="B108" s="41" t="s">
        <v>127</v>
      </c>
      <c r="C108" s="41"/>
      <c r="D108" s="41" t="s">
        <v>146</v>
      </c>
      <c r="E108" s="42">
        <v>39462</v>
      </c>
      <c r="F108">
        <v>6.0000000000000001E-3</v>
      </c>
      <c r="G108" t="s">
        <v>364</v>
      </c>
      <c r="H108" t="s">
        <v>363</v>
      </c>
      <c r="I108">
        <v>0.01</v>
      </c>
      <c r="J108">
        <v>0.06</v>
      </c>
      <c r="K108">
        <v>-4.0000000000000001E-3</v>
      </c>
      <c r="L108" t="s">
        <v>359</v>
      </c>
    </row>
    <row r="109" spans="1:12" x14ac:dyDescent="0.35">
      <c r="A109" s="41" t="s">
        <v>97</v>
      </c>
      <c r="B109" s="41" t="s">
        <v>127</v>
      </c>
      <c r="C109" s="41" t="s">
        <v>96</v>
      </c>
      <c r="D109" s="41" t="s">
        <v>71</v>
      </c>
      <c r="E109" s="42">
        <v>44281</v>
      </c>
      <c r="F109">
        <v>2.5000000000000001E-2</v>
      </c>
      <c r="G109" t="s">
        <v>359</v>
      </c>
      <c r="H109" t="s">
        <v>363</v>
      </c>
      <c r="I109">
        <v>0.01</v>
      </c>
      <c r="J109">
        <v>0.06</v>
      </c>
      <c r="K109" t="s">
        <v>359</v>
      </c>
      <c r="L109" t="s">
        <v>359</v>
      </c>
    </row>
    <row r="110" spans="1:12" x14ac:dyDescent="0.35">
      <c r="A110" s="41" t="s">
        <v>44</v>
      </c>
      <c r="B110" s="41" t="s">
        <v>152</v>
      </c>
      <c r="C110" s="41" t="s">
        <v>187</v>
      </c>
      <c r="D110" s="41" t="s">
        <v>11</v>
      </c>
      <c r="E110" s="42">
        <v>45591</v>
      </c>
      <c r="F110">
        <v>1</v>
      </c>
      <c r="G110" t="s">
        <v>359</v>
      </c>
      <c r="I110">
        <v>0.3</v>
      </c>
      <c r="J110">
        <v>1.2</v>
      </c>
      <c r="K110" t="s">
        <v>359</v>
      </c>
      <c r="L110" t="s">
        <v>359</v>
      </c>
    </row>
    <row r="111" spans="1:12" x14ac:dyDescent="0.35">
      <c r="A111" s="41" t="s">
        <v>95</v>
      </c>
      <c r="B111" s="41" t="s">
        <v>94</v>
      </c>
      <c r="C111" s="41"/>
      <c r="D111" s="41" t="s">
        <v>11</v>
      </c>
      <c r="E111" s="42">
        <v>43796</v>
      </c>
      <c r="F111">
        <v>4.8</v>
      </c>
      <c r="G111" t="s">
        <v>359</v>
      </c>
      <c r="I111">
        <v>4.3499999999999996</v>
      </c>
      <c r="J111">
        <v>5.65</v>
      </c>
      <c r="K111" t="s">
        <v>359</v>
      </c>
      <c r="L111" t="s">
        <v>359</v>
      </c>
    </row>
    <row r="112" spans="1:12" x14ac:dyDescent="0.35">
      <c r="A112" s="41" t="s">
        <v>95</v>
      </c>
      <c r="B112" s="41" t="s">
        <v>94</v>
      </c>
      <c r="C112" s="41"/>
      <c r="D112" s="41" t="s">
        <v>146</v>
      </c>
      <c r="E112" s="42">
        <v>43115</v>
      </c>
      <c r="F112">
        <v>4.93</v>
      </c>
      <c r="G112" t="s">
        <v>359</v>
      </c>
      <c r="I112">
        <v>4.5</v>
      </c>
      <c r="J112">
        <v>5.9</v>
      </c>
      <c r="K112" t="s">
        <v>359</v>
      </c>
      <c r="L112" t="s">
        <v>359</v>
      </c>
    </row>
    <row r="113" spans="1:12" x14ac:dyDescent="0.35">
      <c r="A113" s="41" t="s">
        <v>95</v>
      </c>
      <c r="B113" s="41" t="s">
        <v>94</v>
      </c>
      <c r="C113" s="41" t="s">
        <v>96</v>
      </c>
      <c r="D113" s="41" t="s">
        <v>71</v>
      </c>
      <c r="E113" s="42">
        <v>44281</v>
      </c>
      <c r="F113">
        <v>5.17</v>
      </c>
      <c r="G113" t="s">
        <v>359</v>
      </c>
      <c r="I113">
        <v>4.5</v>
      </c>
      <c r="J113">
        <v>5.5</v>
      </c>
      <c r="K113" t="s">
        <v>359</v>
      </c>
      <c r="L113" t="s">
        <v>359</v>
      </c>
    </row>
    <row r="114" spans="1:12" x14ac:dyDescent="0.35">
      <c r="A114" s="41" t="s">
        <v>95</v>
      </c>
      <c r="B114" s="41" t="s">
        <v>125</v>
      </c>
      <c r="C114" s="41"/>
      <c r="D114" s="41" t="s">
        <v>11</v>
      </c>
      <c r="E114" s="42">
        <v>45591</v>
      </c>
      <c r="F114">
        <v>0.34899999999999998</v>
      </c>
      <c r="G114" t="s">
        <v>359</v>
      </c>
      <c r="H114" t="s">
        <v>363</v>
      </c>
      <c r="I114">
        <v>0.32</v>
      </c>
      <c r="J114">
        <v>0.36499999999999999</v>
      </c>
      <c r="K114" t="s">
        <v>359</v>
      </c>
      <c r="L114" t="s">
        <v>359</v>
      </c>
    </row>
    <row r="115" spans="1:12" x14ac:dyDescent="0.35">
      <c r="A115" s="41" t="s">
        <v>90</v>
      </c>
      <c r="B115" s="41" t="s">
        <v>63</v>
      </c>
      <c r="C115" s="41" t="s">
        <v>69</v>
      </c>
      <c r="D115" s="41" t="s">
        <v>11</v>
      </c>
      <c r="E115" s="42">
        <v>44625</v>
      </c>
      <c r="F115">
        <v>3</v>
      </c>
      <c r="G115" t="s">
        <v>365</v>
      </c>
      <c r="K115" t="s">
        <v>360</v>
      </c>
      <c r="L115" t="s">
        <v>361</v>
      </c>
    </row>
    <row r="116" spans="1:12" x14ac:dyDescent="0.35">
      <c r="A116" s="41" t="s">
        <v>90</v>
      </c>
      <c r="B116" s="41" t="s">
        <v>66</v>
      </c>
      <c r="C116" s="41" t="s">
        <v>69</v>
      </c>
      <c r="D116" s="41" t="s">
        <v>11</v>
      </c>
      <c r="E116" s="42">
        <v>44625</v>
      </c>
      <c r="F116">
        <v>15</v>
      </c>
      <c r="G116" t="s">
        <v>359</v>
      </c>
      <c r="J116">
        <v>15</v>
      </c>
      <c r="K116" t="s">
        <v>360</v>
      </c>
      <c r="L116" t="s">
        <v>359</v>
      </c>
    </row>
    <row r="117" spans="1:12" x14ac:dyDescent="0.35">
      <c r="A117" s="41" t="s">
        <v>44</v>
      </c>
      <c r="B117" s="41" t="s">
        <v>40</v>
      </c>
      <c r="C117" s="41"/>
      <c r="D117" s="41" t="s">
        <v>143</v>
      </c>
      <c r="E117" s="42">
        <v>41291</v>
      </c>
      <c r="F117">
        <v>12.1</v>
      </c>
      <c r="G117" t="s">
        <v>364</v>
      </c>
      <c r="I117">
        <v>15</v>
      </c>
      <c r="J117">
        <v>40</v>
      </c>
      <c r="K117">
        <v>-2.9000000000000004</v>
      </c>
      <c r="L117" t="s">
        <v>359</v>
      </c>
    </row>
    <row r="118" spans="1:12" x14ac:dyDescent="0.35">
      <c r="A118" s="41" t="s">
        <v>44</v>
      </c>
      <c r="B118" s="41" t="s">
        <v>40</v>
      </c>
      <c r="C118" s="41" t="s">
        <v>41</v>
      </c>
      <c r="D118" s="41" t="s">
        <v>11</v>
      </c>
      <c r="E118" s="42">
        <v>44625</v>
      </c>
      <c r="F118">
        <v>13.6</v>
      </c>
      <c r="G118" t="s">
        <v>364</v>
      </c>
      <c r="I118">
        <v>15</v>
      </c>
      <c r="J118">
        <v>40</v>
      </c>
      <c r="K118">
        <v>-1.4000000000000004</v>
      </c>
      <c r="L118" t="s">
        <v>359</v>
      </c>
    </row>
    <row r="119" spans="1:12" x14ac:dyDescent="0.35">
      <c r="A119" s="41" t="s">
        <v>44</v>
      </c>
      <c r="B119" s="41" t="s">
        <v>40</v>
      </c>
      <c r="C119" s="41"/>
      <c r="D119" s="41" t="s">
        <v>142</v>
      </c>
      <c r="E119" s="42">
        <v>42478</v>
      </c>
      <c r="F119">
        <v>19</v>
      </c>
      <c r="G119" t="s">
        <v>359</v>
      </c>
      <c r="I119">
        <v>2</v>
      </c>
      <c r="J119">
        <v>40</v>
      </c>
      <c r="K119" t="s">
        <v>359</v>
      </c>
      <c r="L119" t="s">
        <v>359</v>
      </c>
    </row>
    <row r="120" spans="1:12" x14ac:dyDescent="0.35">
      <c r="A120" s="41" t="s">
        <v>44</v>
      </c>
      <c r="B120" s="41" t="s">
        <v>40</v>
      </c>
      <c r="C120" s="41"/>
      <c r="D120" s="41" t="s">
        <v>142</v>
      </c>
      <c r="E120" s="42">
        <v>42984</v>
      </c>
      <c r="F120">
        <v>19.600000000000001</v>
      </c>
      <c r="G120" t="s">
        <v>359</v>
      </c>
      <c r="I120">
        <v>2</v>
      </c>
      <c r="J120">
        <v>40</v>
      </c>
      <c r="K120" t="s">
        <v>359</v>
      </c>
      <c r="L120" t="s">
        <v>359</v>
      </c>
    </row>
    <row r="121" spans="1:12" x14ac:dyDescent="0.35">
      <c r="A121" s="41" t="s">
        <v>44</v>
      </c>
      <c r="B121" s="41" t="s">
        <v>154</v>
      </c>
      <c r="C121" s="41"/>
      <c r="D121" s="41" t="s">
        <v>146</v>
      </c>
      <c r="E121" s="42">
        <v>43115</v>
      </c>
      <c r="F121">
        <v>70</v>
      </c>
      <c r="G121" t="s">
        <v>359</v>
      </c>
      <c r="I121">
        <v>20</v>
      </c>
      <c r="J121">
        <v>130</v>
      </c>
      <c r="K121" t="s">
        <v>359</v>
      </c>
      <c r="L121" t="s">
        <v>359</v>
      </c>
    </row>
    <row r="122" spans="1:12" x14ac:dyDescent="0.35">
      <c r="A122" s="41" t="s">
        <v>44</v>
      </c>
      <c r="B122" s="41" t="s">
        <v>12</v>
      </c>
      <c r="C122" s="41" t="s">
        <v>16</v>
      </c>
      <c r="D122" s="41" t="s">
        <v>11</v>
      </c>
      <c r="E122" s="42">
        <v>45591</v>
      </c>
      <c r="F122">
        <v>1</v>
      </c>
      <c r="G122" t="s">
        <v>359</v>
      </c>
      <c r="I122">
        <v>0.6</v>
      </c>
      <c r="J122">
        <v>1.2</v>
      </c>
      <c r="K122" t="s">
        <v>359</v>
      </c>
      <c r="L122" t="s">
        <v>359</v>
      </c>
    </row>
    <row r="123" spans="1:12" x14ac:dyDescent="0.35">
      <c r="A123" s="41" t="s">
        <v>44</v>
      </c>
      <c r="B123" s="41" t="s">
        <v>153</v>
      </c>
      <c r="C123" s="41"/>
      <c r="D123" s="41" t="s">
        <v>146</v>
      </c>
      <c r="E123" s="42">
        <v>43115</v>
      </c>
      <c r="F123">
        <v>3</v>
      </c>
      <c r="G123" t="s">
        <v>359</v>
      </c>
      <c r="I123">
        <v>2.7</v>
      </c>
      <c r="J123">
        <v>4.5</v>
      </c>
      <c r="K123" t="s">
        <v>359</v>
      </c>
      <c r="L123" t="s">
        <v>359</v>
      </c>
    </row>
    <row r="124" spans="1:12" x14ac:dyDescent="0.35">
      <c r="A124" s="41" t="s">
        <v>44</v>
      </c>
      <c r="B124" s="41" t="s">
        <v>30</v>
      </c>
      <c r="C124" s="41"/>
      <c r="D124" s="41" t="s">
        <v>146</v>
      </c>
      <c r="E124" s="42">
        <v>39462</v>
      </c>
      <c r="F124">
        <v>72</v>
      </c>
      <c r="G124" t="s">
        <v>364</v>
      </c>
      <c r="I124">
        <v>0</v>
      </c>
      <c r="J124">
        <v>50</v>
      </c>
      <c r="K124" t="s">
        <v>359</v>
      </c>
      <c r="L124">
        <v>22</v>
      </c>
    </row>
    <row r="125" spans="1:12" x14ac:dyDescent="0.35">
      <c r="A125" s="41" t="s">
        <v>44</v>
      </c>
      <c r="B125" s="41" t="s">
        <v>30</v>
      </c>
      <c r="C125" s="41" t="s">
        <v>16</v>
      </c>
      <c r="D125" s="41" t="s">
        <v>11</v>
      </c>
      <c r="E125" s="42">
        <v>44966</v>
      </c>
      <c r="F125">
        <v>85</v>
      </c>
      <c r="G125" t="s">
        <v>364</v>
      </c>
      <c r="J125">
        <v>73</v>
      </c>
      <c r="K125" t="s">
        <v>360</v>
      </c>
      <c r="L125">
        <v>12</v>
      </c>
    </row>
    <row r="126" spans="1:12" x14ac:dyDescent="0.35">
      <c r="A126" s="41" t="s">
        <v>44</v>
      </c>
      <c r="B126" s="41" t="s">
        <v>30</v>
      </c>
      <c r="C126" s="41" t="s">
        <v>16</v>
      </c>
      <c r="D126" s="41" t="s">
        <v>11</v>
      </c>
      <c r="E126" s="42">
        <v>43796</v>
      </c>
      <c r="F126">
        <v>95</v>
      </c>
      <c r="G126" t="s">
        <v>364</v>
      </c>
      <c r="J126">
        <v>73</v>
      </c>
      <c r="K126" t="s">
        <v>360</v>
      </c>
      <c r="L126">
        <v>22</v>
      </c>
    </row>
    <row r="127" spans="1:12" x14ac:dyDescent="0.35">
      <c r="A127" s="41" t="s">
        <v>44</v>
      </c>
      <c r="B127" s="41" t="s">
        <v>184</v>
      </c>
      <c r="C127" s="41" t="s">
        <v>185</v>
      </c>
      <c r="D127" s="41" t="s">
        <v>11</v>
      </c>
      <c r="E127" s="42">
        <v>45591</v>
      </c>
      <c r="F127">
        <v>178</v>
      </c>
      <c r="G127" t="s">
        <v>359</v>
      </c>
      <c r="I127">
        <v>120</v>
      </c>
      <c r="J127">
        <v>246</v>
      </c>
      <c r="K127" t="s">
        <v>359</v>
      </c>
      <c r="L127" t="s">
        <v>359</v>
      </c>
    </row>
    <row r="128" spans="1:12" x14ac:dyDescent="0.35">
      <c r="A128" s="41" t="s">
        <v>105</v>
      </c>
      <c r="B128" s="41" t="s">
        <v>104</v>
      </c>
      <c r="C128" s="41" t="s">
        <v>108</v>
      </c>
      <c r="D128" s="41" t="s">
        <v>71</v>
      </c>
      <c r="E128" s="42">
        <v>43675</v>
      </c>
      <c r="F128">
        <v>67</v>
      </c>
      <c r="G128" t="s">
        <v>364</v>
      </c>
      <c r="I128">
        <v>70</v>
      </c>
      <c r="J128">
        <v>110</v>
      </c>
      <c r="K128">
        <v>-3</v>
      </c>
      <c r="L128" t="s">
        <v>359</v>
      </c>
    </row>
    <row r="129" spans="1:12" x14ac:dyDescent="0.35">
      <c r="A129" s="41" t="s">
        <v>105</v>
      </c>
      <c r="B129" s="41" t="s">
        <v>104</v>
      </c>
      <c r="C129" s="41" t="s">
        <v>108</v>
      </c>
      <c r="D129" s="41" t="s">
        <v>71</v>
      </c>
      <c r="E129" s="42">
        <v>44281</v>
      </c>
      <c r="F129">
        <v>79</v>
      </c>
      <c r="G129" t="s">
        <v>359</v>
      </c>
      <c r="I129">
        <v>70</v>
      </c>
      <c r="J129">
        <v>110</v>
      </c>
      <c r="K129" t="s">
        <v>359</v>
      </c>
      <c r="L129" t="s">
        <v>359</v>
      </c>
    </row>
    <row r="130" spans="1:12" x14ac:dyDescent="0.35">
      <c r="A130" s="41" t="s">
        <v>166</v>
      </c>
      <c r="B130" s="41" t="s">
        <v>168</v>
      </c>
      <c r="C130" s="41"/>
      <c r="D130" s="41" t="s">
        <v>146</v>
      </c>
      <c r="E130" s="42">
        <v>43115</v>
      </c>
      <c r="F130">
        <v>2.1000000000000001E-2</v>
      </c>
      <c r="G130" t="s">
        <v>359</v>
      </c>
      <c r="H130" t="s">
        <v>363</v>
      </c>
      <c r="I130">
        <v>0.02</v>
      </c>
      <c r="J130">
        <v>0.05</v>
      </c>
      <c r="K130" t="s">
        <v>359</v>
      </c>
      <c r="L130" t="s">
        <v>359</v>
      </c>
    </row>
    <row r="131" spans="1:12" x14ac:dyDescent="0.35">
      <c r="A131" s="41" t="s">
        <v>166</v>
      </c>
      <c r="B131" s="41" t="s">
        <v>169</v>
      </c>
      <c r="C131" s="41"/>
      <c r="D131" s="41" t="s">
        <v>146</v>
      </c>
      <c r="E131" s="42">
        <v>43115</v>
      </c>
      <c r="F131">
        <v>9.0999999999999998E-2</v>
      </c>
      <c r="G131" t="s">
        <v>359</v>
      </c>
      <c r="H131" t="s">
        <v>363</v>
      </c>
      <c r="I131">
        <v>0.06</v>
      </c>
      <c r="J131">
        <v>0.12</v>
      </c>
      <c r="K131" t="s">
        <v>359</v>
      </c>
      <c r="L131" t="s">
        <v>359</v>
      </c>
    </row>
    <row r="132" spans="1:12" x14ac:dyDescent="0.35">
      <c r="A132" s="41" t="s">
        <v>166</v>
      </c>
      <c r="B132" s="41" t="s">
        <v>170</v>
      </c>
      <c r="C132" s="41"/>
      <c r="D132" s="41" t="s">
        <v>146</v>
      </c>
      <c r="E132" s="42">
        <v>43115</v>
      </c>
      <c r="F132">
        <v>7.1999999999999995E-2</v>
      </c>
      <c r="G132" t="s">
        <v>364</v>
      </c>
      <c r="H132" t="s">
        <v>363</v>
      </c>
      <c r="I132">
        <v>0.08</v>
      </c>
      <c r="J132">
        <v>0.14000000000000001</v>
      </c>
      <c r="K132">
        <v>-8.0000000000000071E-3</v>
      </c>
      <c r="L132" t="s">
        <v>359</v>
      </c>
    </row>
    <row r="133" spans="1:12" x14ac:dyDescent="0.35">
      <c r="A133" s="41" t="s">
        <v>166</v>
      </c>
      <c r="B133" s="41" t="s">
        <v>171</v>
      </c>
      <c r="C133" s="41"/>
      <c r="D133" s="41" t="s">
        <v>146</v>
      </c>
      <c r="E133" s="42">
        <v>43115</v>
      </c>
      <c r="F133">
        <v>9.5000000000000001E-2</v>
      </c>
      <c r="G133" t="s">
        <v>364</v>
      </c>
      <c r="H133" t="s">
        <v>363</v>
      </c>
      <c r="I133">
        <v>0.12</v>
      </c>
      <c r="J133">
        <v>0.22</v>
      </c>
      <c r="K133">
        <v>-2.4999999999999994E-2</v>
      </c>
      <c r="L133" t="s">
        <v>359</v>
      </c>
    </row>
    <row r="134" spans="1:12" x14ac:dyDescent="0.35">
      <c r="A134" s="41" t="s">
        <v>44</v>
      </c>
      <c r="B134" s="41" t="s">
        <v>13</v>
      </c>
      <c r="C134" s="41" t="s">
        <v>15</v>
      </c>
      <c r="D134" s="41" t="s">
        <v>11</v>
      </c>
      <c r="E134" s="42">
        <v>44966</v>
      </c>
      <c r="F134">
        <v>75</v>
      </c>
      <c r="G134" t="s">
        <v>359</v>
      </c>
      <c r="I134">
        <v>60</v>
      </c>
      <c r="J134">
        <v>110</v>
      </c>
      <c r="K134" t="s">
        <v>359</v>
      </c>
      <c r="L134" t="s">
        <v>359</v>
      </c>
    </row>
    <row r="135" spans="1:12" x14ac:dyDescent="0.35">
      <c r="A135" s="41" t="s">
        <v>44</v>
      </c>
      <c r="B135" s="41" t="s">
        <v>13</v>
      </c>
      <c r="C135" s="41"/>
      <c r="D135" s="41" t="s">
        <v>143</v>
      </c>
      <c r="E135" s="42">
        <v>41291</v>
      </c>
      <c r="F135">
        <v>76</v>
      </c>
      <c r="G135" t="s">
        <v>359</v>
      </c>
      <c r="I135">
        <v>70</v>
      </c>
      <c r="J135">
        <v>120</v>
      </c>
      <c r="K135" t="s">
        <v>359</v>
      </c>
      <c r="L135" t="s">
        <v>359</v>
      </c>
    </row>
    <row r="136" spans="1:12" x14ac:dyDescent="0.35">
      <c r="A136" s="41" t="s">
        <v>44</v>
      </c>
      <c r="B136" s="41" t="s">
        <v>13</v>
      </c>
      <c r="C136" s="41" t="s">
        <v>20</v>
      </c>
      <c r="D136" s="41" t="s">
        <v>4</v>
      </c>
      <c r="E136" s="42">
        <v>45022</v>
      </c>
      <c r="F136">
        <v>78</v>
      </c>
      <c r="G136" t="s">
        <v>359</v>
      </c>
      <c r="I136">
        <v>74</v>
      </c>
      <c r="J136">
        <v>106</v>
      </c>
      <c r="K136" t="s">
        <v>359</v>
      </c>
      <c r="L136" t="s">
        <v>359</v>
      </c>
    </row>
    <row r="137" spans="1:12" x14ac:dyDescent="0.35">
      <c r="A137" s="41" t="s">
        <v>44</v>
      </c>
      <c r="B137" s="41" t="s">
        <v>13</v>
      </c>
      <c r="C137" s="41"/>
      <c r="D137" s="41" t="s">
        <v>142</v>
      </c>
      <c r="E137" s="42">
        <v>42984</v>
      </c>
      <c r="F137">
        <v>79</v>
      </c>
      <c r="G137" t="s">
        <v>359</v>
      </c>
      <c r="I137">
        <v>60</v>
      </c>
      <c r="J137">
        <v>110</v>
      </c>
      <c r="K137" t="s">
        <v>359</v>
      </c>
      <c r="L137" t="s">
        <v>359</v>
      </c>
    </row>
    <row r="138" spans="1:12" x14ac:dyDescent="0.35">
      <c r="A138" s="41" t="s">
        <v>44</v>
      </c>
      <c r="B138" s="41" t="s">
        <v>13</v>
      </c>
      <c r="C138" s="41" t="s">
        <v>20</v>
      </c>
      <c r="D138" s="41" t="s">
        <v>4</v>
      </c>
      <c r="E138" s="42">
        <v>44259</v>
      </c>
      <c r="F138">
        <v>80</v>
      </c>
      <c r="G138" t="s">
        <v>359</v>
      </c>
      <c r="J138">
        <v>106</v>
      </c>
      <c r="K138" t="s">
        <v>360</v>
      </c>
      <c r="L138" t="s">
        <v>359</v>
      </c>
    </row>
    <row r="139" spans="1:12" x14ac:dyDescent="0.35">
      <c r="A139" s="41" t="s">
        <v>44</v>
      </c>
      <c r="B139" s="41" t="s">
        <v>13</v>
      </c>
      <c r="C139" s="41"/>
      <c r="D139" s="41" t="s">
        <v>142</v>
      </c>
      <c r="E139" s="42">
        <v>42478</v>
      </c>
      <c r="F139">
        <v>80</v>
      </c>
      <c r="G139" t="s">
        <v>359</v>
      </c>
      <c r="I139">
        <v>60</v>
      </c>
      <c r="J139">
        <v>110</v>
      </c>
      <c r="K139" t="s">
        <v>359</v>
      </c>
      <c r="L139" t="s">
        <v>359</v>
      </c>
    </row>
    <row r="140" spans="1:12" x14ac:dyDescent="0.35">
      <c r="A140" s="41" t="s">
        <v>44</v>
      </c>
      <c r="B140" s="41" t="s">
        <v>13</v>
      </c>
      <c r="C140" s="41"/>
      <c r="D140" s="41" t="s">
        <v>146</v>
      </c>
      <c r="E140" s="42">
        <v>39462</v>
      </c>
      <c r="F140">
        <v>82</v>
      </c>
      <c r="G140" t="s">
        <v>364</v>
      </c>
      <c r="I140">
        <v>90</v>
      </c>
      <c r="J140">
        <v>110</v>
      </c>
      <c r="K140">
        <v>-8</v>
      </c>
      <c r="L140" t="s">
        <v>359</v>
      </c>
    </row>
    <row r="141" spans="1:12" x14ac:dyDescent="0.35">
      <c r="A141" s="41" t="s">
        <v>44</v>
      </c>
      <c r="B141" s="41" t="s">
        <v>13</v>
      </c>
      <c r="C141" s="41" t="s">
        <v>15</v>
      </c>
      <c r="D141" s="41" t="s">
        <v>11</v>
      </c>
      <c r="E141" s="42">
        <v>44625</v>
      </c>
      <c r="F141">
        <v>87</v>
      </c>
      <c r="G141" t="s">
        <v>359</v>
      </c>
      <c r="I141">
        <v>60</v>
      </c>
      <c r="J141">
        <v>110</v>
      </c>
      <c r="K141" t="s">
        <v>359</v>
      </c>
      <c r="L141" t="s">
        <v>359</v>
      </c>
    </row>
    <row r="142" spans="1:12" x14ac:dyDescent="0.35">
      <c r="A142" s="41" t="s">
        <v>90</v>
      </c>
      <c r="B142" s="41" t="s">
        <v>13</v>
      </c>
      <c r="C142" s="41" t="s">
        <v>68</v>
      </c>
      <c r="D142" s="41" t="s">
        <v>11</v>
      </c>
      <c r="E142" s="42">
        <v>44625</v>
      </c>
      <c r="F142" t="s">
        <v>59</v>
      </c>
      <c r="G142" t="s">
        <v>365</v>
      </c>
      <c r="K142" t="s">
        <v>360</v>
      </c>
      <c r="L142" t="s">
        <v>361</v>
      </c>
    </row>
    <row r="143" spans="1:12" x14ac:dyDescent="0.35">
      <c r="A143" s="41" t="s">
        <v>90</v>
      </c>
      <c r="B143" s="41" t="s">
        <v>13</v>
      </c>
      <c r="C143" s="41" t="s">
        <v>123</v>
      </c>
      <c r="D143" s="41" t="s">
        <v>71</v>
      </c>
      <c r="E143" s="42">
        <v>44281</v>
      </c>
      <c r="F143" t="s">
        <v>33</v>
      </c>
      <c r="G143" t="s">
        <v>366</v>
      </c>
      <c r="K143" t="s">
        <v>360</v>
      </c>
      <c r="L143" t="s">
        <v>361</v>
      </c>
    </row>
    <row r="144" spans="1:12" x14ac:dyDescent="0.35">
      <c r="A144" s="41" t="s">
        <v>95</v>
      </c>
      <c r="B144" s="41" t="s">
        <v>94</v>
      </c>
      <c r="C144" s="41" t="s">
        <v>96</v>
      </c>
      <c r="D144" s="41" t="s">
        <v>11</v>
      </c>
      <c r="E144" s="42">
        <v>45591</v>
      </c>
      <c r="F144">
        <v>5.0199999999999996</v>
      </c>
      <c r="G144" t="s">
        <v>359</v>
      </c>
      <c r="I144">
        <v>4.3499999999999996</v>
      </c>
      <c r="J144">
        <v>5.65</v>
      </c>
      <c r="K144" t="s">
        <v>359</v>
      </c>
      <c r="L144" t="s">
        <v>359</v>
      </c>
    </row>
    <row r="145" spans="1:12" x14ac:dyDescent="0.35">
      <c r="A145" s="41" t="s">
        <v>95</v>
      </c>
      <c r="B145" s="41" t="s">
        <v>124</v>
      </c>
      <c r="C145" s="41"/>
      <c r="D145" s="41" t="s">
        <v>11</v>
      </c>
      <c r="E145" s="42">
        <v>43796</v>
      </c>
      <c r="F145">
        <v>29.4</v>
      </c>
      <c r="G145" t="s">
        <v>359</v>
      </c>
      <c r="I145">
        <v>26.5</v>
      </c>
      <c r="J145">
        <v>32.6</v>
      </c>
      <c r="K145" t="s">
        <v>359</v>
      </c>
      <c r="L145" t="s">
        <v>359</v>
      </c>
    </row>
    <row r="146" spans="1:12" x14ac:dyDescent="0.35">
      <c r="A146" s="41" t="s">
        <v>95</v>
      </c>
      <c r="B146" s="41" t="s">
        <v>124</v>
      </c>
      <c r="C146" s="41"/>
      <c r="D146" s="41" t="s">
        <v>146</v>
      </c>
      <c r="E146" s="42">
        <v>39462</v>
      </c>
      <c r="F146">
        <v>29.4</v>
      </c>
      <c r="G146" t="s">
        <v>359</v>
      </c>
      <c r="I146">
        <v>26.7</v>
      </c>
      <c r="J146">
        <v>30.7</v>
      </c>
      <c r="K146" t="s">
        <v>359</v>
      </c>
      <c r="L146" t="s">
        <v>359</v>
      </c>
    </row>
    <row r="147" spans="1:12" x14ac:dyDescent="0.35">
      <c r="A147" s="41" t="s">
        <v>44</v>
      </c>
      <c r="B147" s="41" t="s">
        <v>154</v>
      </c>
      <c r="C147" s="41"/>
      <c r="D147" s="41" t="s">
        <v>11</v>
      </c>
      <c r="E147" s="42">
        <v>45591</v>
      </c>
      <c r="F147">
        <v>90</v>
      </c>
      <c r="G147" t="s">
        <v>359</v>
      </c>
      <c r="I147">
        <v>46</v>
      </c>
      <c r="J147">
        <v>116</v>
      </c>
      <c r="K147" t="s">
        <v>359</v>
      </c>
      <c r="L147" t="s">
        <v>359</v>
      </c>
    </row>
    <row r="148" spans="1:12" x14ac:dyDescent="0.35">
      <c r="A148" s="41" t="s">
        <v>95</v>
      </c>
      <c r="B148" s="41" t="s">
        <v>181</v>
      </c>
      <c r="C148" s="41"/>
      <c r="D148" s="41" t="s">
        <v>11</v>
      </c>
      <c r="E148" s="42">
        <v>43796</v>
      </c>
      <c r="F148">
        <v>0.41899999999999998</v>
      </c>
      <c r="G148" t="s">
        <v>359</v>
      </c>
      <c r="H148" t="s">
        <v>363</v>
      </c>
      <c r="I148">
        <v>0.38300000000000001</v>
      </c>
      <c r="J148">
        <v>0.48599999999999999</v>
      </c>
      <c r="K148" t="s">
        <v>359</v>
      </c>
      <c r="L148" t="s">
        <v>359</v>
      </c>
    </row>
    <row r="149" spans="1:12" x14ac:dyDescent="0.35">
      <c r="A149" s="41" t="s">
        <v>95</v>
      </c>
      <c r="B149" s="41" t="s">
        <v>181</v>
      </c>
      <c r="C149" s="41"/>
      <c r="D149" s="41" t="s">
        <v>146</v>
      </c>
      <c r="E149" s="42">
        <v>39462</v>
      </c>
      <c r="F149">
        <v>0.43099999999999999</v>
      </c>
      <c r="G149" t="s">
        <v>359</v>
      </c>
      <c r="H149" t="s">
        <v>363</v>
      </c>
      <c r="I149">
        <v>0.41</v>
      </c>
      <c r="J149">
        <v>0.51</v>
      </c>
      <c r="K149" t="s">
        <v>359</v>
      </c>
      <c r="L149" t="s">
        <v>359</v>
      </c>
    </row>
    <row r="150" spans="1:12" x14ac:dyDescent="0.35">
      <c r="A150" s="41" t="s">
        <v>95</v>
      </c>
      <c r="B150" s="41" t="s">
        <v>181</v>
      </c>
      <c r="C150" s="41" t="s">
        <v>96</v>
      </c>
      <c r="D150" s="41" t="s">
        <v>71</v>
      </c>
      <c r="E150" s="42">
        <v>44281</v>
      </c>
      <c r="F150">
        <v>0.44800000000000001</v>
      </c>
      <c r="G150" t="s">
        <v>359</v>
      </c>
      <c r="H150" t="s">
        <v>363</v>
      </c>
      <c r="I150">
        <v>0.4</v>
      </c>
      <c r="J150">
        <v>0.5</v>
      </c>
      <c r="K150" t="s">
        <v>359</v>
      </c>
      <c r="L150" t="s">
        <v>359</v>
      </c>
    </row>
    <row r="151" spans="1:12" x14ac:dyDescent="0.35">
      <c r="A151" s="41" t="s">
        <v>44</v>
      </c>
      <c r="B151" s="41" t="s">
        <v>13</v>
      </c>
      <c r="C151" s="41" t="s">
        <v>15</v>
      </c>
      <c r="D151" s="41" t="s">
        <v>11</v>
      </c>
      <c r="E151" s="42">
        <v>45589</v>
      </c>
      <c r="F151">
        <v>88</v>
      </c>
      <c r="G151" t="s">
        <v>359</v>
      </c>
      <c r="I151">
        <v>60</v>
      </c>
      <c r="J151">
        <v>110</v>
      </c>
      <c r="K151" t="s">
        <v>359</v>
      </c>
      <c r="L151" t="s">
        <v>359</v>
      </c>
    </row>
    <row r="152" spans="1:12" x14ac:dyDescent="0.35">
      <c r="A152" s="41" t="s">
        <v>95</v>
      </c>
      <c r="B152" s="41" t="s">
        <v>51</v>
      </c>
      <c r="C152" s="41"/>
      <c r="D152" s="41" t="s">
        <v>11</v>
      </c>
      <c r="E152" s="42">
        <v>43796</v>
      </c>
      <c r="F152">
        <v>14.1</v>
      </c>
      <c r="G152" t="s">
        <v>359</v>
      </c>
      <c r="I152">
        <v>13.2</v>
      </c>
      <c r="J152">
        <v>16.600000000000001</v>
      </c>
      <c r="K152" t="s">
        <v>359</v>
      </c>
      <c r="L152" t="s">
        <v>359</v>
      </c>
    </row>
    <row r="153" spans="1:12" x14ac:dyDescent="0.35">
      <c r="A153" s="41" t="s">
        <v>95</v>
      </c>
      <c r="B153" s="41" t="s">
        <v>51</v>
      </c>
      <c r="C153" s="41"/>
      <c r="D153" s="41" t="s">
        <v>146</v>
      </c>
      <c r="E153" s="42">
        <v>39462</v>
      </c>
      <c r="F153">
        <v>14.5</v>
      </c>
      <c r="G153" t="s">
        <v>359</v>
      </c>
      <c r="I153">
        <v>13.7</v>
      </c>
      <c r="J153">
        <v>17.5</v>
      </c>
      <c r="K153" t="s">
        <v>359</v>
      </c>
      <c r="L153" t="s">
        <v>359</v>
      </c>
    </row>
    <row r="154" spans="1:12" x14ac:dyDescent="0.35">
      <c r="A154" s="41" t="s">
        <v>95</v>
      </c>
      <c r="B154" s="41" t="s">
        <v>51</v>
      </c>
      <c r="C154" s="41" t="s">
        <v>96</v>
      </c>
      <c r="D154" s="41" t="s">
        <v>71</v>
      </c>
      <c r="E154" s="42">
        <v>44281</v>
      </c>
      <c r="F154">
        <v>15.3</v>
      </c>
      <c r="G154" t="s">
        <v>359</v>
      </c>
      <c r="I154">
        <v>13</v>
      </c>
      <c r="J154">
        <v>17</v>
      </c>
      <c r="K154" t="s">
        <v>359</v>
      </c>
      <c r="L154" t="s">
        <v>359</v>
      </c>
    </row>
    <row r="155" spans="1:12" x14ac:dyDescent="0.35">
      <c r="A155" s="41" t="s">
        <v>90</v>
      </c>
      <c r="B155" s="41" t="s">
        <v>51</v>
      </c>
      <c r="C155" s="41" t="s">
        <v>68</v>
      </c>
      <c r="D155" s="41" t="s">
        <v>11</v>
      </c>
      <c r="E155" s="42">
        <v>44625</v>
      </c>
      <c r="F155" t="s">
        <v>59</v>
      </c>
      <c r="G155" t="s">
        <v>365</v>
      </c>
      <c r="K155" t="s">
        <v>360</v>
      </c>
      <c r="L155" t="s">
        <v>361</v>
      </c>
    </row>
    <row r="156" spans="1:12" x14ac:dyDescent="0.35">
      <c r="A156" s="41" t="s">
        <v>90</v>
      </c>
      <c r="B156" s="41" t="s">
        <v>51</v>
      </c>
      <c r="C156" s="41" t="s">
        <v>123</v>
      </c>
      <c r="D156" s="41" t="s">
        <v>71</v>
      </c>
      <c r="E156" s="42">
        <v>44281</v>
      </c>
      <c r="F156" t="s">
        <v>33</v>
      </c>
      <c r="G156" t="s">
        <v>366</v>
      </c>
      <c r="K156" t="s">
        <v>360</v>
      </c>
      <c r="L156" t="s">
        <v>361</v>
      </c>
    </row>
    <row r="157" spans="1:12" x14ac:dyDescent="0.35">
      <c r="A157" s="41" t="s">
        <v>95</v>
      </c>
      <c r="B157" s="41" t="s">
        <v>124</v>
      </c>
      <c r="C157" s="41"/>
      <c r="D157" s="41" t="s">
        <v>11</v>
      </c>
      <c r="E157" s="42">
        <v>45591</v>
      </c>
      <c r="F157">
        <v>29.5</v>
      </c>
      <c r="G157" t="s">
        <v>359</v>
      </c>
      <c r="I157">
        <v>26.5</v>
      </c>
      <c r="J157">
        <v>32.6</v>
      </c>
      <c r="K157" t="s">
        <v>359</v>
      </c>
      <c r="L157" t="s">
        <v>359</v>
      </c>
    </row>
    <row r="158" spans="1:12" x14ac:dyDescent="0.35">
      <c r="A158" s="41" t="s">
        <v>95</v>
      </c>
      <c r="B158" s="41" t="s">
        <v>155</v>
      </c>
      <c r="C158" s="41"/>
      <c r="D158" s="41" t="s">
        <v>146</v>
      </c>
      <c r="E158" s="42">
        <v>39462</v>
      </c>
      <c r="F158">
        <v>4.7E-2</v>
      </c>
      <c r="G158" t="s">
        <v>359</v>
      </c>
      <c r="H158" t="s">
        <v>363</v>
      </c>
      <c r="I158">
        <v>3.4000000000000002E-2</v>
      </c>
      <c r="J158">
        <v>0.06</v>
      </c>
      <c r="K158" t="s">
        <v>359</v>
      </c>
      <c r="L158" t="s">
        <v>359</v>
      </c>
    </row>
    <row r="159" spans="1:12" x14ac:dyDescent="0.35">
      <c r="A159" s="41" t="s">
        <v>44</v>
      </c>
      <c r="B159" s="41" t="s">
        <v>31</v>
      </c>
      <c r="C159" s="41" t="s">
        <v>32</v>
      </c>
      <c r="D159" s="41" t="s">
        <v>11</v>
      </c>
      <c r="E159" s="42">
        <v>44966</v>
      </c>
      <c r="F159">
        <v>0.1</v>
      </c>
      <c r="G159" t="s">
        <v>359</v>
      </c>
      <c r="J159">
        <v>0.9</v>
      </c>
      <c r="K159" t="s">
        <v>360</v>
      </c>
      <c r="L159" t="s">
        <v>359</v>
      </c>
    </row>
    <row r="160" spans="1:12" x14ac:dyDescent="0.35">
      <c r="A160" s="41" t="s">
        <v>44</v>
      </c>
      <c r="B160" s="41" t="s">
        <v>34</v>
      </c>
      <c r="C160" s="41" t="s">
        <v>32</v>
      </c>
      <c r="D160" s="41" t="s">
        <v>11</v>
      </c>
      <c r="E160" s="42">
        <v>44966</v>
      </c>
      <c r="F160">
        <v>10.199999999999999</v>
      </c>
      <c r="G160" t="s">
        <v>364</v>
      </c>
      <c r="J160">
        <v>8</v>
      </c>
      <c r="K160" t="s">
        <v>360</v>
      </c>
      <c r="L160">
        <v>2.1999999999999993</v>
      </c>
    </row>
    <row r="161" spans="1:12" x14ac:dyDescent="0.35">
      <c r="A161" s="41" t="s">
        <v>44</v>
      </c>
      <c r="B161" s="41" t="s">
        <v>35</v>
      </c>
      <c r="C161" s="41" t="s">
        <v>32</v>
      </c>
      <c r="D161" s="41" t="s">
        <v>11</v>
      </c>
      <c r="E161" s="42">
        <v>44966</v>
      </c>
      <c r="F161">
        <v>0.1</v>
      </c>
      <c r="G161" t="s">
        <v>359</v>
      </c>
      <c r="J161">
        <v>0.5</v>
      </c>
      <c r="K161" t="s">
        <v>360</v>
      </c>
      <c r="L161" t="s">
        <v>359</v>
      </c>
    </row>
    <row r="162" spans="1:12" x14ac:dyDescent="0.35">
      <c r="A162" s="41" t="s">
        <v>44</v>
      </c>
      <c r="B162" s="41" t="s">
        <v>36</v>
      </c>
      <c r="C162" s="41" t="s">
        <v>32</v>
      </c>
      <c r="D162" s="41" t="s">
        <v>11</v>
      </c>
      <c r="E162" s="42">
        <v>44966</v>
      </c>
      <c r="F162">
        <v>0.1</v>
      </c>
      <c r="G162" t="s">
        <v>359</v>
      </c>
      <c r="J162">
        <v>0.8</v>
      </c>
      <c r="K162" t="s">
        <v>360</v>
      </c>
      <c r="L162" t="s">
        <v>359</v>
      </c>
    </row>
    <row r="163" spans="1:12" x14ac:dyDescent="0.35">
      <c r="A163" s="41" t="s">
        <v>116</v>
      </c>
      <c r="B163" s="41" t="s">
        <v>118</v>
      </c>
      <c r="C163" s="41" t="s">
        <v>120</v>
      </c>
      <c r="D163" s="41" t="s">
        <v>71</v>
      </c>
      <c r="E163" s="42">
        <v>44281</v>
      </c>
      <c r="F163">
        <v>5</v>
      </c>
      <c r="G163" t="s">
        <v>359</v>
      </c>
      <c r="I163">
        <v>3.5</v>
      </c>
      <c r="J163">
        <v>5.0999999999999996</v>
      </c>
      <c r="K163" t="s">
        <v>359</v>
      </c>
      <c r="L163" t="s">
        <v>359</v>
      </c>
    </row>
    <row r="164" spans="1:12" x14ac:dyDescent="0.35">
      <c r="A164" s="41" t="s">
        <v>97</v>
      </c>
      <c r="B164" s="41" t="s">
        <v>54</v>
      </c>
      <c r="C164" s="41"/>
      <c r="D164" s="41" t="s">
        <v>146</v>
      </c>
      <c r="E164" s="42">
        <v>43115</v>
      </c>
      <c r="F164">
        <v>3.8</v>
      </c>
      <c r="G164" t="s">
        <v>364</v>
      </c>
      <c r="I164">
        <v>4.5</v>
      </c>
      <c r="J164">
        <v>11</v>
      </c>
      <c r="K164">
        <v>-0.70000000000000018</v>
      </c>
      <c r="L164" t="s">
        <v>359</v>
      </c>
    </row>
    <row r="165" spans="1:12" x14ac:dyDescent="0.35">
      <c r="A165" s="41" t="s">
        <v>97</v>
      </c>
      <c r="B165" s="41" t="s">
        <v>54</v>
      </c>
      <c r="C165" s="41"/>
      <c r="D165" s="41" t="s">
        <v>11</v>
      </c>
      <c r="E165" s="42">
        <v>43796</v>
      </c>
      <c r="F165">
        <v>4.1399999999999997</v>
      </c>
      <c r="G165" t="s">
        <v>359</v>
      </c>
      <c r="I165">
        <v>3.4</v>
      </c>
      <c r="J165">
        <v>9.6</v>
      </c>
      <c r="K165" t="s">
        <v>359</v>
      </c>
      <c r="L165" t="s">
        <v>359</v>
      </c>
    </row>
    <row r="166" spans="1:12" x14ac:dyDescent="0.35">
      <c r="A166" s="41" t="s">
        <v>97</v>
      </c>
      <c r="B166" s="41" t="s">
        <v>54</v>
      </c>
      <c r="C166" s="41" t="s">
        <v>96</v>
      </c>
      <c r="D166" s="41" t="s">
        <v>71</v>
      </c>
      <c r="E166" s="42">
        <v>44281</v>
      </c>
      <c r="F166">
        <v>5.2</v>
      </c>
      <c r="G166" t="s">
        <v>359</v>
      </c>
      <c r="I166">
        <v>4</v>
      </c>
      <c r="J166">
        <v>10</v>
      </c>
      <c r="K166" t="s">
        <v>359</v>
      </c>
      <c r="L166" t="s">
        <v>359</v>
      </c>
    </row>
    <row r="167" spans="1:12" x14ac:dyDescent="0.35">
      <c r="A167" s="41" t="s">
        <v>95</v>
      </c>
      <c r="B167" s="41" t="s">
        <v>181</v>
      </c>
      <c r="C167" s="41"/>
      <c r="D167" s="41" t="s">
        <v>11</v>
      </c>
      <c r="E167" s="42">
        <v>45591</v>
      </c>
      <c r="F167">
        <v>0.42399999999999999</v>
      </c>
      <c r="G167" t="s">
        <v>359</v>
      </c>
      <c r="H167" t="s">
        <v>363</v>
      </c>
      <c r="I167">
        <v>0.38300000000000001</v>
      </c>
      <c r="J167">
        <v>0.48599999999999999</v>
      </c>
      <c r="K167" t="s">
        <v>359</v>
      </c>
      <c r="L167" t="s">
        <v>359</v>
      </c>
    </row>
    <row r="168" spans="1:12" x14ac:dyDescent="0.35">
      <c r="A168" s="41" t="s">
        <v>90</v>
      </c>
      <c r="B168" s="41" t="s">
        <v>355</v>
      </c>
      <c r="C168" s="41" t="s">
        <v>69</v>
      </c>
      <c r="D168" s="41" t="s">
        <v>11</v>
      </c>
      <c r="E168" s="42">
        <v>44625</v>
      </c>
      <c r="F168">
        <v>15</v>
      </c>
      <c r="G168" t="s">
        <v>359</v>
      </c>
      <c r="J168">
        <v>25</v>
      </c>
      <c r="K168" t="s">
        <v>360</v>
      </c>
      <c r="L168" t="s">
        <v>359</v>
      </c>
    </row>
    <row r="169" spans="1:12" x14ac:dyDescent="0.35">
      <c r="A169" s="41" t="s">
        <v>90</v>
      </c>
      <c r="B169" s="41" t="s">
        <v>355</v>
      </c>
      <c r="C169" s="41" t="s">
        <v>123</v>
      </c>
      <c r="D169" s="41" t="s">
        <v>71</v>
      </c>
      <c r="E169" s="42">
        <v>44281</v>
      </c>
      <c r="F169" t="s">
        <v>33</v>
      </c>
      <c r="G169" t="s">
        <v>366</v>
      </c>
      <c r="K169" t="s">
        <v>360</v>
      </c>
      <c r="L169" t="s">
        <v>361</v>
      </c>
    </row>
    <row r="170" spans="1:12" x14ac:dyDescent="0.35">
      <c r="A170" s="41" t="s">
        <v>90</v>
      </c>
      <c r="B170" s="41" t="s">
        <v>65</v>
      </c>
      <c r="C170" s="41" t="s">
        <v>69</v>
      </c>
      <c r="D170" s="41" t="s">
        <v>11</v>
      </c>
      <c r="E170" s="42">
        <v>44625</v>
      </c>
      <c r="F170">
        <v>3</v>
      </c>
      <c r="G170" t="s">
        <v>365</v>
      </c>
      <c r="K170" t="s">
        <v>360</v>
      </c>
      <c r="L170" t="s">
        <v>361</v>
      </c>
    </row>
    <row r="171" spans="1:12" x14ac:dyDescent="0.35">
      <c r="A171" s="41" t="s">
        <v>97</v>
      </c>
      <c r="B171" s="41" t="s">
        <v>101</v>
      </c>
      <c r="C171" s="41"/>
      <c r="D171" s="41" t="s">
        <v>11</v>
      </c>
      <c r="E171" s="42">
        <v>43796</v>
      </c>
      <c r="F171">
        <v>1.59</v>
      </c>
      <c r="G171" t="s">
        <v>359</v>
      </c>
      <c r="I171">
        <v>0.95</v>
      </c>
      <c r="J171">
        <v>3.07</v>
      </c>
      <c r="K171" t="s">
        <v>359</v>
      </c>
      <c r="L171" t="s">
        <v>359</v>
      </c>
    </row>
    <row r="172" spans="1:12" x14ac:dyDescent="0.35">
      <c r="A172" s="41" t="s">
        <v>95</v>
      </c>
      <c r="B172" s="41" t="s">
        <v>51</v>
      </c>
      <c r="C172" s="41"/>
      <c r="D172" s="41" t="s">
        <v>11</v>
      </c>
      <c r="E172" s="42">
        <v>45591</v>
      </c>
      <c r="F172">
        <v>14.8</v>
      </c>
      <c r="G172" t="s">
        <v>359</v>
      </c>
      <c r="I172">
        <v>13.2</v>
      </c>
      <c r="J172">
        <v>16.600000000000001</v>
      </c>
      <c r="K172" t="s">
        <v>359</v>
      </c>
      <c r="L172" t="s">
        <v>359</v>
      </c>
    </row>
    <row r="173" spans="1:12" x14ac:dyDescent="0.35">
      <c r="A173" s="41" t="s">
        <v>97</v>
      </c>
      <c r="B173" s="41" t="s">
        <v>129</v>
      </c>
      <c r="C173" s="41" t="s">
        <v>96</v>
      </c>
      <c r="D173" s="41" t="s">
        <v>71</v>
      </c>
      <c r="E173" s="42">
        <v>44281</v>
      </c>
      <c r="F173">
        <v>0.30399999999999999</v>
      </c>
      <c r="G173" t="s">
        <v>359</v>
      </c>
      <c r="H173" t="s">
        <v>363</v>
      </c>
      <c r="I173">
        <v>0.2</v>
      </c>
      <c r="J173">
        <v>0.4</v>
      </c>
      <c r="K173" t="s">
        <v>359</v>
      </c>
      <c r="L173" t="s">
        <v>359</v>
      </c>
    </row>
    <row r="174" spans="1:12" x14ac:dyDescent="0.35">
      <c r="A174" s="41" t="s">
        <v>97</v>
      </c>
      <c r="B174" s="41" t="s">
        <v>129</v>
      </c>
      <c r="C174" s="41"/>
      <c r="D174" s="41" t="s">
        <v>11</v>
      </c>
      <c r="E174" s="42">
        <v>43796</v>
      </c>
      <c r="F174">
        <v>0.38400000000000001</v>
      </c>
      <c r="G174" t="s">
        <v>359</v>
      </c>
      <c r="H174" t="s">
        <v>363</v>
      </c>
      <c r="I174">
        <v>0.2</v>
      </c>
      <c r="J174">
        <v>0.4</v>
      </c>
      <c r="K174" t="s">
        <v>359</v>
      </c>
      <c r="L174" t="s">
        <v>359</v>
      </c>
    </row>
    <row r="175" spans="1:12" x14ac:dyDescent="0.35">
      <c r="A175" s="41" t="s">
        <v>97</v>
      </c>
      <c r="B175" s="41" t="s">
        <v>129</v>
      </c>
      <c r="C175" s="41"/>
      <c r="D175" s="41" t="s">
        <v>146</v>
      </c>
      <c r="E175" s="42">
        <v>39462</v>
      </c>
      <c r="F175">
        <v>0.38700000000000001</v>
      </c>
      <c r="G175" t="s">
        <v>359</v>
      </c>
      <c r="H175" t="s">
        <v>363</v>
      </c>
      <c r="I175">
        <v>0.2</v>
      </c>
      <c r="J175">
        <v>0.4</v>
      </c>
      <c r="K175" t="s">
        <v>359</v>
      </c>
      <c r="L175" t="s">
        <v>359</v>
      </c>
    </row>
    <row r="176" spans="1:12" x14ac:dyDescent="0.35">
      <c r="A176" s="41" t="s">
        <v>97</v>
      </c>
      <c r="B176" s="41" t="s">
        <v>54</v>
      </c>
      <c r="C176" s="41"/>
      <c r="D176" s="41" t="s">
        <v>11</v>
      </c>
      <c r="E176" s="42">
        <v>45591</v>
      </c>
      <c r="F176">
        <v>4.12</v>
      </c>
      <c r="G176" t="s">
        <v>359</v>
      </c>
      <c r="I176">
        <v>3.4</v>
      </c>
      <c r="J176">
        <v>9.6</v>
      </c>
      <c r="K176" t="s">
        <v>359</v>
      </c>
      <c r="L176" t="s">
        <v>359</v>
      </c>
    </row>
    <row r="177" spans="1:12" x14ac:dyDescent="0.35">
      <c r="A177" s="41" t="s">
        <v>44</v>
      </c>
      <c r="B177" s="41" t="s">
        <v>137</v>
      </c>
      <c r="C177" s="41" t="s">
        <v>138</v>
      </c>
      <c r="D177" s="41" t="s">
        <v>11</v>
      </c>
      <c r="E177" s="42">
        <v>43796</v>
      </c>
      <c r="F177">
        <v>1.8</v>
      </c>
      <c r="G177" t="s">
        <v>359</v>
      </c>
      <c r="I177">
        <v>1.6</v>
      </c>
      <c r="J177">
        <v>2.6</v>
      </c>
      <c r="K177" t="s">
        <v>359</v>
      </c>
      <c r="L177" t="s">
        <v>359</v>
      </c>
    </row>
    <row r="178" spans="1:12" x14ac:dyDescent="0.35">
      <c r="A178" s="41" t="s">
        <v>44</v>
      </c>
      <c r="B178" s="41" t="s">
        <v>137</v>
      </c>
      <c r="C178" s="41"/>
      <c r="D178" s="41" t="s">
        <v>146</v>
      </c>
      <c r="E178" s="42">
        <v>39462</v>
      </c>
      <c r="F178">
        <v>2.1</v>
      </c>
      <c r="G178" t="s">
        <v>359</v>
      </c>
      <c r="I178">
        <v>1.6</v>
      </c>
      <c r="J178">
        <v>2.8</v>
      </c>
      <c r="K178" t="s">
        <v>359</v>
      </c>
      <c r="L178" t="s">
        <v>359</v>
      </c>
    </row>
    <row r="179" spans="1:12" x14ac:dyDescent="0.35">
      <c r="A179" s="41" t="s">
        <v>93</v>
      </c>
      <c r="B179" s="41" t="s">
        <v>87</v>
      </c>
      <c r="C179" s="41" t="s">
        <v>86</v>
      </c>
      <c r="D179" s="41" t="s">
        <v>71</v>
      </c>
      <c r="E179" s="42">
        <v>44285</v>
      </c>
      <c r="F179">
        <v>70</v>
      </c>
      <c r="G179" t="s">
        <v>359</v>
      </c>
      <c r="J179">
        <v>341</v>
      </c>
      <c r="K179" t="s">
        <v>360</v>
      </c>
      <c r="L179" t="s">
        <v>359</v>
      </c>
    </row>
    <row r="180" spans="1:12" x14ac:dyDescent="0.35">
      <c r="A180" s="41" t="s">
        <v>97</v>
      </c>
      <c r="B180" s="41" t="s">
        <v>101</v>
      </c>
      <c r="C180" s="41"/>
      <c r="D180" s="41" t="s">
        <v>11</v>
      </c>
      <c r="E180" s="42">
        <v>45622</v>
      </c>
      <c r="F180">
        <v>1.35</v>
      </c>
      <c r="G180" t="s">
        <v>359</v>
      </c>
      <c r="I180">
        <v>0.95</v>
      </c>
      <c r="J180">
        <v>3.07</v>
      </c>
      <c r="K180" t="s">
        <v>359</v>
      </c>
      <c r="L180" t="s">
        <v>359</v>
      </c>
    </row>
    <row r="181" spans="1:12" x14ac:dyDescent="0.35">
      <c r="A181" s="41" t="s">
        <v>97</v>
      </c>
      <c r="B181" s="41" t="s">
        <v>102</v>
      </c>
      <c r="C181" s="41"/>
      <c r="D181" s="41" t="s">
        <v>11</v>
      </c>
      <c r="E181" s="42">
        <v>43796</v>
      </c>
      <c r="F181">
        <v>0.21099999999999999</v>
      </c>
      <c r="G181" t="s">
        <v>364</v>
      </c>
      <c r="I181">
        <v>0.26</v>
      </c>
      <c r="J181">
        <v>0.81</v>
      </c>
      <c r="K181">
        <v>-4.9000000000000016E-2</v>
      </c>
      <c r="L181" t="s">
        <v>359</v>
      </c>
    </row>
    <row r="182" spans="1:12" x14ac:dyDescent="0.35">
      <c r="A182" s="41" t="s">
        <v>97</v>
      </c>
      <c r="B182" s="41" t="s">
        <v>130</v>
      </c>
      <c r="C182" s="41" t="s">
        <v>96</v>
      </c>
      <c r="D182" s="41" t="s">
        <v>71</v>
      </c>
      <c r="E182" s="42">
        <v>44281</v>
      </c>
      <c r="F182">
        <v>3.3000000000000002E-2</v>
      </c>
      <c r="G182" t="s">
        <v>359</v>
      </c>
      <c r="H182" t="s">
        <v>363</v>
      </c>
      <c r="I182">
        <v>0.02</v>
      </c>
      <c r="J182">
        <v>0.1</v>
      </c>
      <c r="K182" t="s">
        <v>359</v>
      </c>
      <c r="L182" t="s">
        <v>359</v>
      </c>
    </row>
    <row r="183" spans="1:12" x14ac:dyDescent="0.35">
      <c r="A183" s="41" t="s">
        <v>97</v>
      </c>
      <c r="B183" s="41" t="s">
        <v>130</v>
      </c>
      <c r="C183" s="41"/>
      <c r="D183" s="41" t="s">
        <v>11</v>
      </c>
      <c r="E183" s="42">
        <v>43796</v>
      </c>
      <c r="F183">
        <v>5.0999999999999997E-2</v>
      </c>
      <c r="G183" t="s">
        <v>359</v>
      </c>
      <c r="H183" t="s">
        <v>363</v>
      </c>
      <c r="I183">
        <v>0.02</v>
      </c>
      <c r="J183">
        <v>0.1</v>
      </c>
      <c r="K183" t="s">
        <v>359</v>
      </c>
      <c r="L183" t="s">
        <v>359</v>
      </c>
    </row>
    <row r="184" spans="1:12" x14ac:dyDescent="0.35">
      <c r="A184" s="41" t="s">
        <v>97</v>
      </c>
      <c r="B184" s="41" t="s">
        <v>130</v>
      </c>
      <c r="C184" s="41"/>
      <c r="D184" s="41" t="s">
        <v>146</v>
      </c>
      <c r="E184" s="42">
        <v>43115</v>
      </c>
      <c r="F184">
        <v>6.4000000000000001E-2</v>
      </c>
      <c r="G184" t="s">
        <v>359</v>
      </c>
      <c r="H184" t="s">
        <v>363</v>
      </c>
      <c r="I184">
        <v>0.02</v>
      </c>
      <c r="J184">
        <v>0.1</v>
      </c>
      <c r="K184" t="s">
        <v>359</v>
      </c>
      <c r="L184" t="s">
        <v>359</v>
      </c>
    </row>
    <row r="185" spans="1:12" x14ac:dyDescent="0.35">
      <c r="A185" s="41" t="s">
        <v>97</v>
      </c>
      <c r="B185" s="41" t="s">
        <v>129</v>
      </c>
      <c r="C185" s="41"/>
      <c r="D185" s="41" t="s">
        <v>11</v>
      </c>
      <c r="E185" s="42">
        <v>45591</v>
      </c>
      <c r="F185">
        <v>0.32800000000000001</v>
      </c>
      <c r="G185" t="s">
        <v>359</v>
      </c>
      <c r="H185" t="s">
        <v>363</v>
      </c>
      <c r="I185">
        <v>0.2</v>
      </c>
      <c r="J185">
        <v>0.4</v>
      </c>
      <c r="K185" t="s">
        <v>359</v>
      </c>
      <c r="L185" t="s">
        <v>359</v>
      </c>
    </row>
    <row r="186" spans="1:12" x14ac:dyDescent="0.35">
      <c r="A186" s="41" t="s">
        <v>116</v>
      </c>
      <c r="B186" s="41" t="s">
        <v>117</v>
      </c>
      <c r="C186" s="41" t="s">
        <v>120</v>
      </c>
      <c r="D186" s="41" t="s">
        <v>71</v>
      </c>
      <c r="E186" s="42">
        <v>44281</v>
      </c>
      <c r="F186">
        <v>141</v>
      </c>
      <c r="G186" t="s">
        <v>359</v>
      </c>
      <c r="I186">
        <v>136</v>
      </c>
      <c r="J186">
        <v>145</v>
      </c>
      <c r="K186" t="s">
        <v>359</v>
      </c>
      <c r="L186" t="s">
        <v>359</v>
      </c>
    </row>
    <row r="187" spans="1:12" x14ac:dyDescent="0.35">
      <c r="A187" s="41" t="s">
        <v>97</v>
      </c>
      <c r="B187" s="41" t="s">
        <v>98</v>
      </c>
      <c r="C187" s="41"/>
      <c r="D187" s="41" t="s">
        <v>11</v>
      </c>
      <c r="E187" s="42">
        <v>43796</v>
      </c>
      <c r="F187">
        <v>2.2690000000000001</v>
      </c>
      <c r="G187" t="s">
        <v>359</v>
      </c>
      <c r="I187">
        <v>1.56</v>
      </c>
      <c r="J187">
        <v>6.45</v>
      </c>
      <c r="K187" t="s">
        <v>359</v>
      </c>
      <c r="L187" t="s">
        <v>359</v>
      </c>
    </row>
    <row r="188" spans="1:12" x14ac:dyDescent="0.35">
      <c r="A188" s="41" t="s">
        <v>97</v>
      </c>
      <c r="B188" s="41" t="s">
        <v>130</v>
      </c>
      <c r="C188" s="41"/>
      <c r="D188" s="41" t="s">
        <v>11</v>
      </c>
      <c r="E188" s="42">
        <v>45591</v>
      </c>
      <c r="F188">
        <v>4.9000000000000002E-2</v>
      </c>
      <c r="G188" t="s">
        <v>359</v>
      </c>
      <c r="H188" t="s">
        <v>363</v>
      </c>
      <c r="I188">
        <v>0.02</v>
      </c>
      <c r="J188">
        <v>0.1</v>
      </c>
      <c r="K188" t="s">
        <v>359</v>
      </c>
      <c r="L188" t="s">
        <v>359</v>
      </c>
    </row>
    <row r="189" spans="1:12" x14ac:dyDescent="0.35">
      <c r="A189" s="41" t="s">
        <v>97</v>
      </c>
      <c r="B189" s="41" t="s">
        <v>126</v>
      </c>
      <c r="C189" s="41"/>
      <c r="D189" s="41" t="s">
        <v>146</v>
      </c>
      <c r="E189" s="42">
        <v>43115</v>
      </c>
      <c r="F189">
        <v>0.54</v>
      </c>
      <c r="G189" t="s">
        <v>359</v>
      </c>
      <c r="H189" t="s">
        <v>363</v>
      </c>
      <c r="I189">
        <v>0.4</v>
      </c>
      <c r="J189">
        <v>0.8</v>
      </c>
      <c r="K189" t="s">
        <v>359</v>
      </c>
      <c r="L189" t="s">
        <v>359</v>
      </c>
    </row>
    <row r="190" spans="1:12" x14ac:dyDescent="0.35">
      <c r="A190" s="41" t="s">
        <v>97</v>
      </c>
      <c r="B190" s="41" t="s">
        <v>126</v>
      </c>
      <c r="C190" s="41"/>
      <c r="D190" s="41" t="s">
        <v>11</v>
      </c>
      <c r="E190" s="42">
        <v>43796</v>
      </c>
      <c r="F190">
        <v>0.54800000000000004</v>
      </c>
      <c r="G190" t="s">
        <v>359</v>
      </c>
      <c r="H190" t="s">
        <v>363</v>
      </c>
      <c r="I190">
        <v>0.4</v>
      </c>
      <c r="J190">
        <v>0.8</v>
      </c>
      <c r="K190" t="s">
        <v>359</v>
      </c>
      <c r="L190" t="s">
        <v>359</v>
      </c>
    </row>
    <row r="191" spans="1:12" x14ac:dyDescent="0.35">
      <c r="A191" s="41" t="s">
        <v>97</v>
      </c>
      <c r="B191" s="41" t="s">
        <v>126</v>
      </c>
      <c r="C191" s="41" t="s">
        <v>96</v>
      </c>
      <c r="D191" s="41" t="s">
        <v>71</v>
      </c>
      <c r="E191" s="42">
        <v>44281</v>
      </c>
      <c r="F191">
        <v>0.628</v>
      </c>
      <c r="G191" t="s">
        <v>359</v>
      </c>
      <c r="H191" t="s">
        <v>363</v>
      </c>
      <c r="I191">
        <v>0.4</v>
      </c>
      <c r="J191">
        <v>0.8</v>
      </c>
      <c r="K191" t="s">
        <v>359</v>
      </c>
      <c r="L191" t="s">
        <v>359</v>
      </c>
    </row>
    <row r="192" spans="1:12" x14ac:dyDescent="0.35">
      <c r="A192" s="41" t="s">
        <v>97</v>
      </c>
      <c r="B192" s="41" t="s">
        <v>98</v>
      </c>
      <c r="C192" s="41"/>
      <c r="D192" s="41" t="s">
        <v>11</v>
      </c>
      <c r="E192" s="42">
        <v>45591</v>
      </c>
      <c r="F192">
        <v>2.52</v>
      </c>
      <c r="G192" t="s">
        <v>359</v>
      </c>
      <c r="I192">
        <v>1.56</v>
      </c>
      <c r="J192">
        <v>6.45</v>
      </c>
      <c r="K192" t="s">
        <v>359</v>
      </c>
      <c r="L192" t="s">
        <v>359</v>
      </c>
    </row>
    <row r="193" spans="1:12" x14ac:dyDescent="0.35">
      <c r="A193" s="41" t="s">
        <v>90</v>
      </c>
      <c r="B193" s="41" t="s">
        <v>53</v>
      </c>
      <c r="C193" s="41" t="s">
        <v>68</v>
      </c>
      <c r="D193" s="41" t="s">
        <v>11</v>
      </c>
      <c r="E193" s="42">
        <v>44625</v>
      </c>
      <c r="F193" t="s">
        <v>60</v>
      </c>
      <c r="G193" t="s">
        <v>365</v>
      </c>
      <c r="K193" t="s">
        <v>360</v>
      </c>
      <c r="L193" t="s">
        <v>361</v>
      </c>
    </row>
    <row r="194" spans="1:12" x14ac:dyDescent="0.35">
      <c r="A194" s="41" t="s">
        <v>90</v>
      </c>
      <c r="B194" s="41" t="s">
        <v>53</v>
      </c>
      <c r="C194" s="41" t="s">
        <v>123</v>
      </c>
      <c r="D194" s="41" t="s">
        <v>71</v>
      </c>
      <c r="E194" s="42">
        <v>44281</v>
      </c>
      <c r="F194" t="s">
        <v>33</v>
      </c>
      <c r="G194" t="s">
        <v>366</v>
      </c>
      <c r="K194" t="s">
        <v>360</v>
      </c>
      <c r="L194" t="s">
        <v>361</v>
      </c>
    </row>
    <row r="195" spans="1:12" x14ac:dyDescent="0.35">
      <c r="A195" s="41" t="s">
        <v>93</v>
      </c>
      <c r="B195" s="41" t="s">
        <v>82</v>
      </c>
      <c r="C195" s="41" t="s">
        <v>85</v>
      </c>
      <c r="D195" s="41" t="s">
        <v>71</v>
      </c>
      <c r="E195" s="42">
        <v>44285</v>
      </c>
      <c r="F195">
        <v>30</v>
      </c>
      <c r="G195" t="s">
        <v>359</v>
      </c>
      <c r="J195">
        <v>76</v>
      </c>
      <c r="K195" t="s">
        <v>360</v>
      </c>
      <c r="L195" t="s">
        <v>359</v>
      </c>
    </row>
    <row r="196" spans="1:12" x14ac:dyDescent="0.35">
      <c r="A196" s="41" t="s">
        <v>93</v>
      </c>
      <c r="B196" s="41" t="s">
        <v>88</v>
      </c>
      <c r="C196" s="41" t="s">
        <v>86</v>
      </c>
      <c r="D196" s="41" t="s">
        <v>71</v>
      </c>
      <c r="E196" s="42">
        <v>44285</v>
      </c>
      <c r="F196">
        <v>135</v>
      </c>
      <c r="G196" t="s">
        <v>359</v>
      </c>
      <c r="J196">
        <v>444</v>
      </c>
      <c r="K196" t="s">
        <v>360</v>
      </c>
      <c r="L196" t="s">
        <v>359</v>
      </c>
    </row>
    <row r="197" spans="1:12" x14ac:dyDescent="0.35">
      <c r="A197" s="41" t="s">
        <v>92</v>
      </c>
      <c r="B197" s="41" t="s">
        <v>78</v>
      </c>
      <c r="C197" s="41" t="s">
        <v>80</v>
      </c>
      <c r="D197" s="41" t="s">
        <v>71</v>
      </c>
      <c r="E197" s="42">
        <v>44285</v>
      </c>
      <c r="F197">
        <v>24</v>
      </c>
      <c r="G197" t="s">
        <v>365</v>
      </c>
      <c r="K197" t="s">
        <v>360</v>
      </c>
      <c r="L197" t="s">
        <v>361</v>
      </c>
    </row>
    <row r="198" spans="1:12" x14ac:dyDescent="0.35">
      <c r="A198" s="41" t="s">
        <v>90</v>
      </c>
      <c r="B198" s="41" t="s">
        <v>47</v>
      </c>
      <c r="C198" s="41"/>
      <c r="D198" s="41" t="s">
        <v>146</v>
      </c>
      <c r="E198" s="42">
        <v>43115</v>
      </c>
      <c r="F198">
        <v>6</v>
      </c>
      <c r="G198" t="s">
        <v>365</v>
      </c>
      <c r="K198" t="s">
        <v>360</v>
      </c>
      <c r="L198" t="s">
        <v>361</v>
      </c>
    </row>
    <row r="199" spans="1:12" x14ac:dyDescent="0.35">
      <c r="A199" s="41" t="s">
        <v>90</v>
      </c>
      <c r="B199" s="41" t="s">
        <v>47</v>
      </c>
      <c r="C199" s="41" t="s">
        <v>68</v>
      </c>
      <c r="D199" s="41" t="s">
        <v>11</v>
      </c>
      <c r="E199" s="42">
        <v>44625</v>
      </c>
      <c r="F199">
        <v>6.5</v>
      </c>
      <c r="G199" t="s">
        <v>365</v>
      </c>
      <c r="K199" t="s">
        <v>360</v>
      </c>
      <c r="L199" t="s">
        <v>361</v>
      </c>
    </row>
    <row r="200" spans="1:12" x14ac:dyDescent="0.35">
      <c r="A200" s="41" t="s">
        <v>90</v>
      </c>
      <c r="B200" s="41" t="s">
        <v>47</v>
      </c>
      <c r="C200" s="41" t="s">
        <v>123</v>
      </c>
      <c r="D200" s="41" t="s">
        <v>71</v>
      </c>
      <c r="E200" s="42">
        <v>44281</v>
      </c>
      <c r="F200">
        <v>6.5</v>
      </c>
      <c r="G200" t="s">
        <v>365</v>
      </c>
      <c r="K200" t="s">
        <v>360</v>
      </c>
      <c r="L200" t="s">
        <v>361</v>
      </c>
    </row>
    <row r="201" spans="1:12" x14ac:dyDescent="0.35">
      <c r="A201" s="41" t="s">
        <v>103</v>
      </c>
      <c r="B201" s="41" t="s">
        <v>131</v>
      </c>
      <c r="C201" s="41"/>
      <c r="D201" s="41" t="s">
        <v>11</v>
      </c>
      <c r="E201" s="42">
        <v>43796</v>
      </c>
      <c r="F201">
        <v>146</v>
      </c>
      <c r="G201" t="s">
        <v>359</v>
      </c>
      <c r="I201">
        <v>135</v>
      </c>
      <c r="J201">
        <v>317</v>
      </c>
      <c r="K201" t="s">
        <v>359</v>
      </c>
      <c r="L201" t="s">
        <v>359</v>
      </c>
    </row>
    <row r="202" spans="1:12" x14ac:dyDescent="0.35">
      <c r="A202" s="41" t="s">
        <v>103</v>
      </c>
      <c r="B202" s="41" t="s">
        <v>131</v>
      </c>
      <c r="C202" s="41" t="s">
        <v>96</v>
      </c>
      <c r="D202" s="41" t="s">
        <v>71</v>
      </c>
      <c r="E202" s="42">
        <v>44281</v>
      </c>
      <c r="F202">
        <v>178</v>
      </c>
      <c r="G202" t="s">
        <v>359</v>
      </c>
      <c r="I202">
        <v>150</v>
      </c>
      <c r="J202">
        <v>400</v>
      </c>
      <c r="K202" t="s">
        <v>359</v>
      </c>
      <c r="L202" t="s">
        <v>359</v>
      </c>
    </row>
    <row r="203" spans="1:12" x14ac:dyDescent="0.35">
      <c r="A203" s="41" t="s">
        <v>103</v>
      </c>
      <c r="B203" s="41" t="s">
        <v>131</v>
      </c>
      <c r="C203" s="41"/>
      <c r="D203" s="41" t="s">
        <v>146</v>
      </c>
      <c r="E203" s="42">
        <v>43115</v>
      </c>
      <c r="F203">
        <v>182</v>
      </c>
      <c r="G203" t="s">
        <v>359</v>
      </c>
      <c r="I203">
        <v>150</v>
      </c>
      <c r="J203">
        <v>400</v>
      </c>
      <c r="K203" t="s">
        <v>359</v>
      </c>
      <c r="L203" t="s">
        <v>359</v>
      </c>
    </row>
    <row r="204" spans="1:12" x14ac:dyDescent="0.35">
      <c r="A204" s="41" t="s">
        <v>97</v>
      </c>
      <c r="B204" s="41" t="s">
        <v>126</v>
      </c>
      <c r="C204" s="41"/>
      <c r="D204" s="41" t="s">
        <v>11</v>
      </c>
      <c r="E204" s="42">
        <v>45591</v>
      </c>
      <c r="F204">
        <v>0.61199999999999999</v>
      </c>
      <c r="G204" t="s">
        <v>359</v>
      </c>
      <c r="H204" t="s">
        <v>363</v>
      </c>
      <c r="I204">
        <v>0.4</v>
      </c>
      <c r="J204">
        <v>0.8</v>
      </c>
      <c r="K204" t="s">
        <v>359</v>
      </c>
      <c r="L204" t="s">
        <v>359</v>
      </c>
    </row>
    <row r="205" spans="1:12" x14ac:dyDescent="0.35">
      <c r="A205" s="41" t="s">
        <v>103</v>
      </c>
      <c r="B205" s="41" t="s">
        <v>131</v>
      </c>
      <c r="C205" s="41"/>
      <c r="D205" s="41" t="s">
        <v>11</v>
      </c>
      <c r="E205" s="42">
        <v>45591</v>
      </c>
      <c r="F205">
        <v>199</v>
      </c>
      <c r="G205" t="s">
        <v>359</v>
      </c>
      <c r="I205">
        <v>135</v>
      </c>
      <c r="J205">
        <v>317</v>
      </c>
      <c r="K205" t="s">
        <v>359</v>
      </c>
      <c r="L205" t="s">
        <v>359</v>
      </c>
    </row>
    <row r="206" spans="1:12" x14ac:dyDescent="0.35">
      <c r="A206" s="41" t="s">
        <v>103</v>
      </c>
      <c r="B206" s="41" t="s">
        <v>132</v>
      </c>
      <c r="C206" s="41"/>
      <c r="D206" s="41" t="s">
        <v>11</v>
      </c>
      <c r="E206" s="42">
        <v>43796</v>
      </c>
      <c r="F206">
        <v>13.2</v>
      </c>
      <c r="G206" t="s">
        <v>364</v>
      </c>
      <c r="I206">
        <v>9.3000000000000007</v>
      </c>
      <c r="J206">
        <v>12.1</v>
      </c>
      <c r="K206" t="s">
        <v>359</v>
      </c>
      <c r="L206">
        <v>1.0999999999999996</v>
      </c>
    </row>
    <row r="207" spans="1:12" x14ac:dyDescent="0.35">
      <c r="A207" s="41" t="s">
        <v>44</v>
      </c>
      <c r="B207" s="41" t="s">
        <v>25</v>
      </c>
      <c r="C207" s="41"/>
      <c r="D207" s="41" t="s">
        <v>146</v>
      </c>
      <c r="E207" s="42">
        <v>43115</v>
      </c>
      <c r="F207">
        <v>3.6</v>
      </c>
      <c r="G207" t="s">
        <v>359</v>
      </c>
      <c r="I207">
        <v>3.5</v>
      </c>
      <c r="J207">
        <v>5.3</v>
      </c>
      <c r="K207" t="s">
        <v>359</v>
      </c>
      <c r="L207" t="s">
        <v>359</v>
      </c>
    </row>
    <row r="208" spans="1:12" x14ac:dyDescent="0.35">
      <c r="A208" s="41" t="s">
        <v>44</v>
      </c>
      <c r="B208" s="41" t="s">
        <v>25</v>
      </c>
      <c r="C208" s="41" t="s">
        <v>24</v>
      </c>
      <c r="D208" s="41" t="s">
        <v>11</v>
      </c>
      <c r="E208" s="42">
        <v>43796</v>
      </c>
      <c r="F208">
        <v>4.0999999999999996</v>
      </c>
      <c r="G208" t="s">
        <v>359</v>
      </c>
      <c r="I208">
        <v>3.5</v>
      </c>
      <c r="J208">
        <v>5.0999999999999996</v>
      </c>
      <c r="K208" t="s">
        <v>359</v>
      </c>
      <c r="L208" t="s">
        <v>359</v>
      </c>
    </row>
    <row r="209" spans="1:12" x14ac:dyDescent="0.35">
      <c r="A209" s="41" t="s">
        <v>44</v>
      </c>
      <c r="B209" s="41" t="s">
        <v>25</v>
      </c>
      <c r="C209" s="41" t="s">
        <v>24</v>
      </c>
      <c r="D209" s="41" t="s">
        <v>11</v>
      </c>
      <c r="E209" s="42">
        <v>44966</v>
      </c>
      <c r="F209">
        <v>4.5999999999999996</v>
      </c>
      <c r="G209" t="s">
        <v>359</v>
      </c>
      <c r="I209">
        <v>3.5</v>
      </c>
      <c r="J209">
        <v>5.0999999999999996</v>
      </c>
      <c r="K209" t="s">
        <v>359</v>
      </c>
      <c r="L209" t="s">
        <v>359</v>
      </c>
    </row>
    <row r="210" spans="1:12" x14ac:dyDescent="0.35">
      <c r="A210" s="41" t="s">
        <v>162</v>
      </c>
      <c r="B210" s="41" t="s">
        <v>163</v>
      </c>
      <c r="C210" s="41"/>
      <c r="D210" s="41" t="s">
        <v>146</v>
      </c>
      <c r="E210" s="42">
        <v>43115</v>
      </c>
      <c r="F210">
        <v>0.3</v>
      </c>
      <c r="G210" t="s">
        <v>359</v>
      </c>
      <c r="I210">
        <v>0</v>
      </c>
      <c r="J210">
        <v>0.6</v>
      </c>
      <c r="K210" t="s">
        <v>359</v>
      </c>
      <c r="L210" t="s">
        <v>359</v>
      </c>
    </row>
    <row r="211" spans="1:12" x14ac:dyDescent="0.35">
      <c r="A211" s="41" t="s">
        <v>90</v>
      </c>
      <c r="B211" s="41" t="s">
        <v>49</v>
      </c>
      <c r="C211" s="41" t="s">
        <v>123</v>
      </c>
      <c r="D211" s="41" t="s">
        <v>71</v>
      </c>
      <c r="E211" s="42">
        <v>44281</v>
      </c>
      <c r="F211" t="s">
        <v>33</v>
      </c>
      <c r="G211" t="s">
        <v>366</v>
      </c>
      <c r="K211" t="s">
        <v>360</v>
      </c>
      <c r="L211" t="s">
        <v>361</v>
      </c>
    </row>
    <row r="212" spans="1:12" x14ac:dyDescent="0.35">
      <c r="A212" s="41" t="s">
        <v>90</v>
      </c>
      <c r="B212" s="41" t="s">
        <v>49</v>
      </c>
      <c r="C212" s="41" t="s">
        <v>68</v>
      </c>
      <c r="D212" s="41" t="s">
        <v>11</v>
      </c>
      <c r="E212" s="42">
        <v>44625</v>
      </c>
      <c r="F212" t="s">
        <v>58</v>
      </c>
      <c r="G212" t="s">
        <v>365</v>
      </c>
      <c r="K212" t="s">
        <v>360</v>
      </c>
      <c r="L212" t="s">
        <v>361</v>
      </c>
    </row>
    <row r="213" spans="1:12" x14ac:dyDescent="0.35">
      <c r="A213" s="41" t="s">
        <v>90</v>
      </c>
      <c r="B213" s="41" t="s">
        <v>49</v>
      </c>
      <c r="C213" s="41"/>
      <c r="D213" s="41" t="s">
        <v>146</v>
      </c>
      <c r="E213" s="42">
        <v>43115</v>
      </c>
      <c r="F213" t="s">
        <v>58</v>
      </c>
      <c r="G213" t="s">
        <v>365</v>
      </c>
      <c r="K213" t="s">
        <v>360</v>
      </c>
      <c r="L213" t="s">
        <v>361</v>
      </c>
    </row>
    <row r="214" spans="1:12" x14ac:dyDescent="0.35">
      <c r="A214" s="41" t="s">
        <v>91</v>
      </c>
      <c r="B214" s="41" t="s">
        <v>72</v>
      </c>
      <c r="C214" s="41" t="s">
        <v>70</v>
      </c>
      <c r="D214" s="41" t="s">
        <v>71</v>
      </c>
      <c r="E214" s="42">
        <v>44285</v>
      </c>
      <c r="F214">
        <v>3.45</v>
      </c>
      <c r="G214" t="s">
        <v>359</v>
      </c>
      <c r="J214">
        <v>30</v>
      </c>
      <c r="K214" t="s">
        <v>360</v>
      </c>
      <c r="L214" t="s">
        <v>359</v>
      </c>
    </row>
    <row r="215" spans="1:12" x14ac:dyDescent="0.35">
      <c r="A215" s="41" t="s">
        <v>166</v>
      </c>
      <c r="B215" s="41" t="s">
        <v>172</v>
      </c>
      <c r="C215" s="41"/>
      <c r="D215" s="41" t="s">
        <v>146</v>
      </c>
      <c r="E215" s="42">
        <v>43115</v>
      </c>
      <c r="F215">
        <v>6.8</v>
      </c>
      <c r="G215" t="s">
        <v>359</v>
      </c>
      <c r="I215">
        <v>6.2</v>
      </c>
      <c r="J215">
        <v>8</v>
      </c>
      <c r="K215" t="s">
        <v>359</v>
      </c>
      <c r="L215" t="s">
        <v>359</v>
      </c>
    </row>
    <row r="216" spans="1:12" x14ac:dyDescent="0.35">
      <c r="A216" s="41" t="s">
        <v>44</v>
      </c>
      <c r="B216" s="41" t="s">
        <v>39</v>
      </c>
      <c r="C216" s="41" t="s">
        <v>32</v>
      </c>
      <c r="D216" s="41" t="s">
        <v>11</v>
      </c>
      <c r="E216" s="42">
        <v>44625</v>
      </c>
      <c r="F216">
        <v>0.11</v>
      </c>
      <c r="G216" t="s">
        <v>359</v>
      </c>
      <c r="J216">
        <v>4</v>
      </c>
      <c r="K216" t="s">
        <v>360</v>
      </c>
      <c r="L216" t="s">
        <v>359</v>
      </c>
    </row>
    <row r="217" spans="1:12" x14ac:dyDescent="0.35">
      <c r="A217" s="41" t="s">
        <v>95</v>
      </c>
      <c r="B217" s="41" t="s">
        <v>183</v>
      </c>
      <c r="C217" s="41"/>
      <c r="D217" s="41" t="s">
        <v>11</v>
      </c>
      <c r="E217" s="42">
        <v>43796</v>
      </c>
      <c r="F217">
        <v>0.12</v>
      </c>
      <c r="G217" t="s">
        <v>359</v>
      </c>
      <c r="H217" t="s">
        <v>363</v>
      </c>
      <c r="I217">
        <v>0.11799999999999999</v>
      </c>
      <c r="J217">
        <v>0.14499999999999999</v>
      </c>
      <c r="K217" t="s">
        <v>359</v>
      </c>
      <c r="L217" t="s">
        <v>359</v>
      </c>
    </row>
    <row r="218" spans="1:12" x14ac:dyDescent="0.35">
      <c r="A218" s="41" t="s">
        <v>95</v>
      </c>
      <c r="B218" s="41" t="s">
        <v>183</v>
      </c>
      <c r="C218" s="41"/>
      <c r="D218" s="41" t="s">
        <v>11</v>
      </c>
      <c r="E218" s="42">
        <v>45591</v>
      </c>
      <c r="F218">
        <v>0.13</v>
      </c>
      <c r="G218" t="s">
        <v>359</v>
      </c>
      <c r="H218" t="s">
        <v>363</v>
      </c>
      <c r="I218">
        <v>0.11799999999999999</v>
      </c>
      <c r="J218">
        <v>0.14499999999999999</v>
      </c>
      <c r="K218" t="s">
        <v>359</v>
      </c>
      <c r="L218" t="s">
        <v>359</v>
      </c>
    </row>
    <row r="219" spans="1:12" x14ac:dyDescent="0.35">
      <c r="A219" s="41" t="s">
        <v>166</v>
      </c>
      <c r="B219" s="41" t="s">
        <v>173</v>
      </c>
      <c r="C219" s="41"/>
      <c r="D219" s="41" t="s">
        <v>146</v>
      </c>
      <c r="E219" s="42">
        <v>43115</v>
      </c>
      <c r="F219">
        <v>2.58</v>
      </c>
      <c r="G219" t="s">
        <v>365</v>
      </c>
      <c r="K219" t="s">
        <v>360</v>
      </c>
      <c r="L219" t="s">
        <v>361</v>
      </c>
    </row>
    <row r="220" spans="1:12" x14ac:dyDescent="0.35">
      <c r="A220" s="41" t="s">
        <v>44</v>
      </c>
      <c r="B220" s="41" t="s">
        <v>23</v>
      </c>
      <c r="C220" s="41"/>
      <c r="D220" s="41" t="s">
        <v>146</v>
      </c>
      <c r="E220" s="42">
        <v>43115</v>
      </c>
      <c r="F220">
        <v>132</v>
      </c>
      <c r="G220" t="s">
        <v>364</v>
      </c>
      <c r="I220">
        <v>136</v>
      </c>
      <c r="J220">
        <v>151</v>
      </c>
      <c r="K220">
        <v>-4</v>
      </c>
      <c r="L220" t="s">
        <v>359</v>
      </c>
    </row>
    <row r="221" spans="1:12" x14ac:dyDescent="0.35">
      <c r="A221" s="41" t="s">
        <v>44</v>
      </c>
      <c r="B221" s="41" t="s">
        <v>23</v>
      </c>
      <c r="C221" s="41" t="s">
        <v>24</v>
      </c>
      <c r="D221" s="41" t="s">
        <v>11</v>
      </c>
      <c r="E221" s="42">
        <v>44966</v>
      </c>
      <c r="F221">
        <v>142</v>
      </c>
      <c r="G221" t="s">
        <v>359</v>
      </c>
      <c r="I221">
        <v>136</v>
      </c>
      <c r="J221">
        <v>145</v>
      </c>
      <c r="K221" t="s">
        <v>359</v>
      </c>
      <c r="L221" t="s">
        <v>359</v>
      </c>
    </row>
    <row r="222" spans="1:12" x14ac:dyDescent="0.35">
      <c r="A222" s="41" t="s">
        <v>44</v>
      </c>
      <c r="B222" s="41" t="s">
        <v>23</v>
      </c>
      <c r="C222" s="41" t="s">
        <v>24</v>
      </c>
      <c r="D222" s="41" t="s">
        <v>11</v>
      </c>
      <c r="E222" s="42">
        <v>43796</v>
      </c>
      <c r="F222">
        <v>143</v>
      </c>
      <c r="G222" t="s">
        <v>359</v>
      </c>
      <c r="I222">
        <v>136</v>
      </c>
      <c r="J222">
        <v>145</v>
      </c>
      <c r="K222" t="s">
        <v>359</v>
      </c>
      <c r="L222" t="s">
        <v>359</v>
      </c>
    </row>
    <row r="223" spans="1:12" x14ac:dyDescent="0.35">
      <c r="A223" s="41" t="s">
        <v>148</v>
      </c>
      <c r="B223" s="41" t="s">
        <v>150</v>
      </c>
      <c r="C223" s="41"/>
      <c r="D223" s="41" t="s">
        <v>146</v>
      </c>
      <c r="E223" s="42">
        <v>43115</v>
      </c>
      <c r="F223">
        <v>76.8</v>
      </c>
      <c r="G223" t="s">
        <v>359</v>
      </c>
      <c r="I223">
        <v>75</v>
      </c>
      <c r="J223">
        <v>120</v>
      </c>
      <c r="K223" t="s">
        <v>359</v>
      </c>
      <c r="L223" t="s">
        <v>359</v>
      </c>
    </row>
    <row r="224" spans="1:12" x14ac:dyDescent="0.35">
      <c r="A224" s="41" t="s">
        <v>148</v>
      </c>
      <c r="B224" s="41" t="s">
        <v>147</v>
      </c>
      <c r="C224" s="41"/>
      <c r="D224" s="41" t="s">
        <v>146</v>
      </c>
      <c r="E224" s="42">
        <v>43115</v>
      </c>
      <c r="F224">
        <v>35.6</v>
      </c>
      <c r="G224" t="s">
        <v>364</v>
      </c>
      <c r="I224">
        <v>25</v>
      </c>
      <c r="J224">
        <v>35</v>
      </c>
      <c r="K224" t="s">
        <v>359</v>
      </c>
      <c r="L224">
        <v>0.60000000000000142</v>
      </c>
    </row>
    <row r="225" spans="1:12" x14ac:dyDescent="0.35">
      <c r="A225" s="41" t="s">
        <v>148</v>
      </c>
      <c r="B225" s="41" t="s">
        <v>149</v>
      </c>
      <c r="C225" s="41"/>
      <c r="D225" s="41" t="s">
        <v>146</v>
      </c>
      <c r="E225" s="42">
        <v>43115</v>
      </c>
      <c r="F225">
        <v>13.7</v>
      </c>
      <c r="G225" t="s">
        <v>365</v>
      </c>
      <c r="K225" t="s">
        <v>360</v>
      </c>
      <c r="L225" t="s">
        <v>361</v>
      </c>
    </row>
    <row r="226" spans="1:12" x14ac:dyDescent="0.35">
      <c r="A226" s="41" t="s">
        <v>121</v>
      </c>
      <c r="B226" s="41" t="s">
        <v>336</v>
      </c>
      <c r="C226" s="41" t="s">
        <v>122</v>
      </c>
      <c r="D226" s="41" t="s">
        <v>71</v>
      </c>
      <c r="E226" s="42">
        <v>44281</v>
      </c>
      <c r="F226">
        <v>1.01</v>
      </c>
      <c r="G226" t="s">
        <v>359</v>
      </c>
      <c r="I226">
        <v>0.8</v>
      </c>
      <c r="J226">
        <v>1.76</v>
      </c>
      <c r="K226" t="s">
        <v>359</v>
      </c>
      <c r="L226" t="s">
        <v>359</v>
      </c>
    </row>
    <row r="227" spans="1:12" x14ac:dyDescent="0.35">
      <c r="A227" s="41" t="s">
        <v>121</v>
      </c>
      <c r="B227" s="41" t="s">
        <v>336</v>
      </c>
      <c r="C227" s="41" t="s">
        <v>141</v>
      </c>
      <c r="D227" s="41" t="s">
        <v>11</v>
      </c>
      <c r="E227" s="42">
        <v>43796</v>
      </c>
      <c r="F227">
        <v>1.01</v>
      </c>
      <c r="G227" t="s">
        <v>359</v>
      </c>
      <c r="I227">
        <v>0.7</v>
      </c>
      <c r="J227">
        <v>1.58</v>
      </c>
      <c r="K227" t="s">
        <v>359</v>
      </c>
      <c r="L227" t="s">
        <v>359</v>
      </c>
    </row>
    <row r="228" spans="1:12" x14ac:dyDescent="0.35">
      <c r="A228" s="41" t="s">
        <v>121</v>
      </c>
      <c r="B228" s="41" t="s">
        <v>335</v>
      </c>
      <c r="C228" s="41"/>
      <c r="D228" s="41" t="s">
        <v>146</v>
      </c>
      <c r="E228" s="42">
        <v>43115</v>
      </c>
      <c r="F228">
        <v>6.76</v>
      </c>
      <c r="G228" t="s">
        <v>359</v>
      </c>
      <c r="I228">
        <v>4.5</v>
      </c>
      <c r="J228">
        <v>12</v>
      </c>
      <c r="K228" t="s">
        <v>359</v>
      </c>
      <c r="L228" t="s">
        <v>359</v>
      </c>
    </row>
    <row r="229" spans="1:12" x14ac:dyDescent="0.35">
      <c r="A229" s="41" t="s">
        <v>121</v>
      </c>
      <c r="B229" s="41" t="s">
        <v>335</v>
      </c>
      <c r="C229" s="41" t="s">
        <v>122</v>
      </c>
      <c r="D229" s="41" t="s">
        <v>4</v>
      </c>
      <c r="E229" s="42">
        <v>45162</v>
      </c>
      <c r="F229">
        <v>9.3000000000000007</v>
      </c>
      <c r="G229" t="s">
        <v>359</v>
      </c>
      <c r="I229">
        <v>7</v>
      </c>
      <c r="J229">
        <v>14.08</v>
      </c>
      <c r="K229" t="s">
        <v>359</v>
      </c>
      <c r="L229" t="s">
        <v>359</v>
      </c>
    </row>
    <row r="230" spans="1:12" x14ac:dyDescent="0.35">
      <c r="A230" s="41" t="s">
        <v>106</v>
      </c>
      <c r="B230" s="41" t="s">
        <v>0</v>
      </c>
      <c r="C230" s="41" t="s">
        <v>16</v>
      </c>
      <c r="D230" s="41" t="s">
        <v>11</v>
      </c>
      <c r="E230" s="42">
        <v>44966</v>
      </c>
      <c r="F230">
        <v>61</v>
      </c>
      <c r="G230" t="s">
        <v>359</v>
      </c>
      <c r="J230">
        <v>150</v>
      </c>
      <c r="K230" t="s">
        <v>360</v>
      </c>
      <c r="L230" t="s">
        <v>359</v>
      </c>
    </row>
    <row r="231" spans="1:12" x14ac:dyDescent="0.35">
      <c r="A231" s="41" t="s">
        <v>106</v>
      </c>
      <c r="B231" s="41" t="s">
        <v>0</v>
      </c>
      <c r="C231" s="41"/>
      <c r="D231" s="41" t="s">
        <v>143</v>
      </c>
      <c r="E231" s="42">
        <v>41291</v>
      </c>
      <c r="F231">
        <v>62</v>
      </c>
      <c r="G231" t="s">
        <v>359</v>
      </c>
      <c r="J231">
        <v>150</v>
      </c>
      <c r="K231" t="s">
        <v>360</v>
      </c>
      <c r="L231" t="s">
        <v>359</v>
      </c>
    </row>
    <row r="232" spans="1:12" x14ac:dyDescent="0.35">
      <c r="A232" s="41" t="s">
        <v>106</v>
      </c>
      <c r="B232" s="41" t="s">
        <v>0</v>
      </c>
      <c r="C232" s="41"/>
      <c r="D232" s="41" t="s">
        <v>142</v>
      </c>
      <c r="E232" s="42">
        <v>42984</v>
      </c>
      <c r="F232">
        <v>71</v>
      </c>
      <c r="G232" t="s">
        <v>359</v>
      </c>
      <c r="J232">
        <v>150</v>
      </c>
      <c r="K232" t="s">
        <v>360</v>
      </c>
      <c r="L232" t="s">
        <v>359</v>
      </c>
    </row>
    <row r="233" spans="1:12" x14ac:dyDescent="0.35">
      <c r="A233" s="41" t="s">
        <v>106</v>
      </c>
      <c r="B233" s="41" t="s">
        <v>0</v>
      </c>
      <c r="C233" s="41" t="s">
        <v>19</v>
      </c>
      <c r="D233" s="41" t="s">
        <v>4</v>
      </c>
      <c r="E233" s="42">
        <v>45022</v>
      </c>
      <c r="F233">
        <v>90</v>
      </c>
      <c r="G233" t="s">
        <v>359</v>
      </c>
      <c r="J233">
        <v>150</v>
      </c>
      <c r="K233" t="s">
        <v>360</v>
      </c>
      <c r="L233" t="s">
        <v>359</v>
      </c>
    </row>
    <row r="234" spans="1:12" x14ac:dyDescent="0.35">
      <c r="A234" s="41" t="s">
        <v>106</v>
      </c>
      <c r="B234" s="41" t="s">
        <v>0</v>
      </c>
      <c r="C234" s="41" t="s">
        <v>16</v>
      </c>
      <c r="D234" s="41" t="s">
        <v>11</v>
      </c>
      <c r="E234" s="42">
        <v>44625</v>
      </c>
      <c r="F234">
        <v>91</v>
      </c>
      <c r="G234" t="s">
        <v>359</v>
      </c>
      <c r="J234">
        <v>150</v>
      </c>
      <c r="K234" t="s">
        <v>360</v>
      </c>
      <c r="L234" t="s">
        <v>359</v>
      </c>
    </row>
    <row r="235" spans="1:12" x14ac:dyDescent="0.35">
      <c r="A235" s="41" t="s">
        <v>106</v>
      </c>
      <c r="B235" s="41" t="s">
        <v>0</v>
      </c>
      <c r="C235" s="41" t="s">
        <v>19</v>
      </c>
      <c r="D235" s="41" t="s">
        <v>4</v>
      </c>
      <c r="E235" s="42">
        <v>44259</v>
      </c>
      <c r="F235">
        <v>94</v>
      </c>
      <c r="G235" t="s">
        <v>359</v>
      </c>
      <c r="J235">
        <v>150</v>
      </c>
      <c r="K235" t="s">
        <v>360</v>
      </c>
      <c r="L235" t="s">
        <v>359</v>
      </c>
    </row>
    <row r="236" spans="1:12" x14ac:dyDescent="0.35">
      <c r="A236" s="41" t="s">
        <v>106</v>
      </c>
      <c r="B236" s="41" t="s">
        <v>0</v>
      </c>
      <c r="C236" s="41" t="s">
        <v>111</v>
      </c>
      <c r="D236" s="41" t="s">
        <v>71</v>
      </c>
      <c r="E236" s="42">
        <v>44281</v>
      </c>
      <c r="F236">
        <v>104</v>
      </c>
      <c r="G236" t="s">
        <v>359</v>
      </c>
      <c r="J236">
        <v>150</v>
      </c>
      <c r="K236" t="s">
        <v>360</v>
      </c>
      <c r="L236" t="s">
        <v>359</v>
      </c>
    </row>
    <row r="237" spans="1:12" x14ac:dyDescent="0.35">
      <c r="A237" s="41" t="s">
        <v>106</v>
      </c>
      <c r="B237" s="41" t="s">
        <v>0</v>
      </c>
      <c r="C237" s="41"/>
      <c r="D237" s="41" t="s">
        <v>142</v>
      </c>
      <c r="E237" s="42">
        <v>42478</v>
      </c>
      <c r="F237">
        <v>106</v>
      </c>
      <c r="G237" t="s">
        <v>359</v>
      </c>
      <c r="J237">
        <v>150</v>
      </c>
      <c r="K237" t="s">
        <v>360</v>
      </c>
      <c r="L237" t="s">
        <v>359</v>
      </c>
    </row>
    <row r="238" spans="1:12" x14ac:dyDescent="0.35">
      <c r="A238" s="41" t="s">
        <v>106</v>
      </c>
      <c r="B238" s="41" t="s">
        <v>0</v>
      </c>
      <c r="C238" s="41"/>
      <c r="D238" s="41" t="s">
        <v>146</v>
      </c>
      <c r="E238" s="42">
        <v>43115</v>
      </c>
      <c r="F238">
        <v>107</v>
      </c>
      <c r="G238" t="s">
        <v>359</v>
      </c>
      <c r="I238">
        <v>40</v>
      </c>
      <c r="J238">
        <v>200</v>
      </c>
      <c r="K238" t="s">
        <v>359</v>
      </c>
      <c r="L238" t="s">
        <v>359</v>
      </c>
    </row>
    <row r="239" spans="1:12" x14ac:dyDescent="0.35">
      <c r="A239" s="41" t="s">
        <v>44</v>
      </c>
      <c r="B239" s="41" t="s">
        <v>279</v>
      </c>
      <c r="C239" s="41" t="s">
        <v>141</v>
      </c>
      <c r="D239" s="41" t="s">
        <v>11</v>
      </c>
      <c r="E239" s="42">
        <v>43796</v>
      </c>
      <c r="F239">
        <v>3.4</v>
      </c>
      <c r="G239" t="s">
        <v>359</v>
      </c>
      <c r="I239">
        <v>2.2999999999999998</v>
      </c>
      <c r="J239">
        <v>4.2</v>
      </c>
      <c r="K239" t="s">
        <v>359</v>
      </c>
      <c r="L239" t="s">
        <v>359</v>
      </c>
    </row>
    <row r="240" spans="1:12" x14ac:dyDescent="0.35">
      <c r="A240" s="41" t="s">
        <v>121</v>
      </c>
      <c r="B240" s="41" t="s">
        <v>302</v>
      </c>
      <c r="C240" s="41"/>
      <c r="D240" s="41" t="s">
        <v>146</v>
      </c>
      <c r="E240" s="42">
        <v>43115</v>
      </c>
      <c r="F240">
        <v>1.05</v>
      </c>
      <c r="G240" t="s">
        <v>359</v>
      </c>
      <c r="I240">
        <v>0.45</v>
      </c>
      <c r="J240">
        <v>1.37</v>
      </c>
      <c r="K240" t="s">
        <v>359</v>
      </c>
      <c r="L240" t="s">
        <v>359</v>
      </c>
    </row>
    <row r="241" spans="1:12" x14ac:dyDescent="0.35">
      <c r="A241" s="41" t="s">
        <v>121</v>
      </c>
      <c r="B241" s="41" t="s">
        <v>301</v>
      </c>
      <c r="C241" s="41" t="s">
        <v>122</v>
      </c>
      <c r="D241" s="41" t="s">
        <v>71</v>
      </c>
      <c r="E241" s="42">
        <v>44281</v>
      </c>
      <c r="F241">
        <v>1</v>
      </c>
      <c r="G241" t="s">
        <v>359</v>
      </c>
      <c r="I241">
        <v>0.6</v>
      </c>
      <c r="J241">
        <v>1.8</v>
      </c>
      <c r="K241" t="s">
        <v>359</v>
      </c>
      <c r="L241" t="s">
        <v>359</v>
      </c>
    </row>
    <row r="242" spans="1:12" x14ac:dyDescent="0.35">
      <c r="A242" s="41" t="s">
        <v>44</v>
      </c>
      <c r="B242" s="41" t="s">
        <v>38</v>
      </c>
      <c r="C242" s="41" t="s">
        <v>32</v>
      </c>
      <c r="D242" s="41" t="s">
        <v>11</v>
      </c>
      <c r="E242" s="42">
        <v>45591</v>
      </c>
      <c r="F242">
        <v>0.745</v>
      </c>
      <c r="G242" t="s">
        <v>359</v>
      </c>
      <c r="I242">
        <v>0.55000000000000004</v>
      </c>
      <c r="J242">
        <v>4.78</v>
      </c>
      <c r="K242" t="s">
        <v>359</v>
      </c>
      <c r="L242" t="s">
        <v>359</v>
      </c>
    </row>
    <row r="243" spans="1:12" x14ac:dyDescent="0.35">
      <c r="A243" s="41" t="s">
        <v>44</v>
      </c>
      <c r="B243" s="41" t="s">
        <v>38</v>
      </c>
      <c r="C243" s="41" t="s">
        <v>32</v>
      </c>
      <c r="D243" s="41" t="s">
        <v>11</v>
      </c>
      <c r="E243" s="42">
        <v>44625</v>
      </c>
      <c r="F243">
        <v>0.86199999999999999</v>
      </c>
      <c r="G243" t="s">
        <v>359</v>
      </c>
      <c r="I243">
        <v>0.55000000000000004</v>
      </c>
      <c r="J243">
        <v>4.78</v>
      </c>
      <c r="K243" t="s">
        <v>359</v>
      </c>
      <c r="L243" t="s">
        <v>359</v>
      </c>
    </row>
    <row r="244" spans="1:12" x14ac:dyDescent="0.35">
      <c r="A244" s="41" t="s">
        <v>44</v>
      </c>
      <c r="B244" s="41" t="s">
        <v>38</v>
      </c>
      <c r="C244" s="41"/>
      <c r="D244" s="41" t="s">
        <v>146</v>
      </c>
      <c r="E244" s="42">
        <v>43115</v>
      </c>
      <c r="F244">
        <v>1.214</v>
      </c>
      <c r="G244" t="s">
        <v>359</v>
      </c>
      <c r="I244">
        <v>0.35</v>
      </c>
      <c r="J244">
        <v>4.9400000000000004</v>
      </c>
      <c r="K244" t="s">
        <v>359</v>
      </c>
      <c r="L244" t="s">
        <v>359</v>
      </c>
    </row>
    <row r="245" spans="1:12" x14ac:dyDescent="0.35">
      <c r="A245" s="41" t="s">
        <v>44</v>
      </c>
      <c r="B245" s="41" t="s">
        <v>38</v>
      </c>
      <c r="C245" s="41" t="s">
        <v>32</v>
      </c>
      <c r="D245" s="41" t="s">
        <v>11</v>
      </c>
      <c r="E245" s="42">
        <v>43796</v>
      </c>
      <c r="F245">
        <v>1.2929999999999999</v>
      </c>
      <c r="G245" t="s">
        <v>359</v>
      </c>
      <c r="I245">
        <v>0.55000000000000004</v>
      </c>
      <c r="J245">
        <v>4.78</v>
      </c>
      <c r="K245" t="s">
        <v>359</v>
      </c>
      <c r="L245" t="s">
        <v>359</v>
      </c>
    </row>
    <row r="246" spans="1:12" x14ac:dyDescent="0.35">
      <c r="A246" s="41" t="s">
        <v>121</v>
      </c>
      <c r="B246" s="41" t="s">
        <v>178</v>
      </c>
      <c r="C246" s="41" t="s">
        <v>122</v>
      </c>
      <c r="D246" s="41" t="s">
        <v>71</v>
      </c>
      <c r="E246" s="42">
        <v>43675</v>
      </c>
      <c r="F246">
        <v>0.85299999999999998</v>
      </c>
      <c r="G246" t="s">
        <v>359</v>
      </c>
      <c r="I246">
        <v>0.35</v>
      </c>
      <c r="J246">
        <v>5.5</v>
      </c>
      <c r="K246" t="s">
        <v>359</v>
      </c>
      <c r="L246" t="s">
        <v>359</v>
      </c>
    </row>
    <row r="247" spans="1:12" x14ac:dyDescent="0.35">
      <c r="A247" s="41" t="s">
        <v>121</v>
      </c>
      <c r="B247" s="41" t="s">
        <v>178</v>
      </c>
      <c r="C247" s="41" t="s">
        <v>122</v>
      </c>
      <c r="D247" s="41" t="s">
        <v>71</v>
      </c>
      <c r="E247" s="42">
        <v>44281</v>
      </c>
      <c r="F247">
        <v>1.234</v>
      </c>
      <c r="G247" t="s">
        <v>359</v>
      </c>
      <c r="I247">
        <v>0.35</v>
      </c>
      <c r="J247">
        <v>5.5</v>
      </c>
      <c r="K247" t="s">
        <v>359</v>
      </c>
      <c r="L247" t="s">
        <v>359</v>
      </c>
    </row>
    <row r="248" spans="1:12" x14ac:dyDescent="0.35">
      <c r="A248" s="41" t="s">
        <v>44</v>
      </c>
      <c r="B248" s="41" t="s">
        <v>179</v>
      </c>
      <c r="C248" s="41" t="s">
        <v>180</v>
      </c>
      <c r="D248" s="41" t="s">
        <v>4</v>
      </c>
      <c r="E248" s="42">
        <v>45162</v>
      </c>
      <c r="F248">
        <v>0.92</v>
      </c>
      <c r="G248" t="s">
        <v>359</v>
      </c>
      <c r="I248">
        <v>0.35</v>
      </c>
      <c r="J248">
        <v>4.9400000000000004</v>
      </c>
      <c r="K248" t="s">
        <v>359</v>
      </c>
      <c r="L248" t="s">
        <v>359</v>
      </c>
    </row>
    <row r="249" spans="1:12" x14ac:dyDescent="0.35">
      <c r="A249" s="41" t="s">
        <v>44</v>
      </c>
      <c r="B249" s="41" t="s">
        <v>133</v>
      </c>
      <c r="C249" s="41"/>
      <c r="D249" s="41" t="s">
        <v>146</v>
      </c>
      <c r="E249" s="42">
        <v>43115</v>
      </c>
      <c r="F249">
        <v>29</v>
      </c>
      <c r="G249" t="s">
        <v>359</v>
      </c>
      <c r="I249">
        <v>15</v>
      </c>
      <c r="J249">
        <v>35</v>
      </c>
      <c r="K249" t="s">
        <v>359</v>
      </c>
      <c r="L249" t="s">
        <v>359</v>
      </c>
    </row>
    <row r="250" spans="1:12" x14ac:dyDescent="0.35">
      <c r="A250" s="41" t="s">
        <v>44</v>
      </c>
      <c r="B250" s="41" t="s">
        <v>133</v>
      </c>
      <c r="C250" s="41" t="s">
        <v>134</v>
      </c>
      <c r="D250" s="41" t="s">
        <v>11</v>
      </c>
      <c r="E250" s="42">
        <v>43796</v>
      </c>
      <c r="F250">
        <v>36</v>
      </c>
      <c r="G250" t="s">
        <v>359</v>
      </c>
      <c r="I250">
        <v>17</v>
      </c>
      <c r="J250">
        <v>51</v>
      </c>
      <c r="K250" t="s">
        <v>359</v>
      </c>
      <c r="L250" t="s">
        <v>359</v>
      </c>
    </row>
    <row r="251" spans="1:12" x14ac:dyDescent="0.35">
      <c r="A251" s="41" t="s">
        <v>112</v>
      </c>
      <c r="B251" s="41" t="s">
        <v>113</v>
      </c>
      <c r="C251" s="41" t="s">
        <v>114</v>
      </c>
      <c r="D251" s="41" t="s">
        <v>71</v>
      </c>
      <c r="E251" s="42">
        <v>44281</v>
      </c>
      <c r="F251">
        <v>5.6</v>
      </c>
      <c r="G251" t="s">
        <v>359</v>
      </c>
      <c r="I251">
        <v>3.5</v>
      </c>
      <c r="J251">
        <v>7.2</v>
      </c>
      <c r="K251" t="s">
        <v>359</v>
      </c>
      <c r="L251" t="s">
        <v>359</v>
      </c>
    </row>
    <row r="252" spans="1:12" x14ac:dyDescent="0.35">
      <c r="A252" s="41" t="s">
        <v>90</v>
      </c>
      <c r="B252" s="41" t="s">
        <v>52</v>
      </c>
      <c r="C252" s="41" t="s">
        <v>68</v>
      </c>
      <c r="D252" s="41" t="s">
        <v>11</v>
      </c>
      <c r="E252" s="42">
        <v>44625</v>
      </c>
      <c r="F252" t="s">
        <v>59</v>
      </c>
      <c r="G252" t="s">
        <v>365</v>
      </c>
      <c r="K252" t="s">
        <v>360</v>
      </c>
      <c r="L252" t="s">
        <v>361</v>
      </c>
    </row>
    <row r="253" spans="1:12" x14ac:dyDescent="0.35">
      <c r="A253" s="41" t="s">
        <v>90</v>
      </c>
      <c r="B253" s="41" t="s">
        <v>52</v>
      </c>
      <c r="C253" s="41" t="s">
        <v>123</v>
      </c>
      <c r="D253" s="41" t="s">
        <v>71</v>
      </c>
      <c r="E253" s="42">
        <v>44281</v>
      </c>
      <c r="F253" t="s">
        <v>33</v>
      </c>
      <c r="G253" t="s">
        <v>366</v>
      </c>
      <c r="K253" t="s">
        <v>360</v>
      </c>
      <c r="L253" t="s">
        <v>361</v>
      </c>
    </row>
    <row r="254" spans="1:12" x14ac:dyDescent="0.35">
      <c r="A254" s="41" t="s">
        <v>162</v>
      </c>
      <c r="B254" s="41" t="s">
        <v>165</v>
      </c>
      <c r="C254" s="41"/>
      <c r="D254" s="41" t="s">
        <v>146</v>
      </c>
      <c r="E254" s="42">
        <v>43115</v>
      </c>
      <c r="F254" t="s">
        <v>33</v>
      </c>
      <c r="G254" t="s">
        <v>366</v>
      </c>
      <c r="K254" t="s">
        <v>360</v>
      </c>
      <c r="L254" t="s">
        <v>361</v>
      </c>
    </row>
    <row r="255" spans="1:12" x14ac:dyDescent="0.35">
      <c r="A255" s="41" t="s">
        <v>95</v>
      </c>
      <c r="B255" s="41" t="s">
        <v>182</v>
      </c>
      <c r="C255" s="41" t="s">
        <v>96</v>
      </c>
      <c r="D255" s="41" t="s">
        <v>71</v>
      </c>
      <c r="E255" s="42">
        <v>44281</v>
      </c>
      <c r="F255">
        <v>29.6</v>
      </c>
      <c r="G255" t="s">
        <v>359</v>
      </c>
      <c r="I255">
        <v>27</v>
      </c>
      <c r="J255">
        <v>32</v>
      </c>
      <c r="K255" t="s">
        <v>359</v>
      </c>
      <c r="L255" t="s">
        <v>359</v>
      </c>
    </row>
    <row r="256" spans="1:12" x14ac:dyDescent="0.35">
      <c r="A256" s="41" t="s">
        <v>95</v>
      </c>
      <c r="B256" s="41" t="s">
        <v>182</v>
      </c>
      <c r="C256" s="41"/>
      <c r="D256" s="41" t="s">
        <v>11</v>
      </c>
      <c r="E256" s="42">
        <v>45591</v>
      </c>
      <c r="F256">
        <v>84.5</v>
      </c>
      <c r="G256" t="s">
        <v>359</v>
      </c>
      <c r="I256">
        <v>78.2</v>
      </c>
      <c r="J256">
        <v>97.9</v>
      </c>
      <c r="K256" t="s">
        <v>359</v>
      </c>
      <c r="L256" t="s">
        <v>359</v>
      </c>
    </row>
    <row r="257" spans="1:12" x14ac:dyDescent="0.35">
      <c r="A257" s="41" t="s">
        <v>95</v>
      </c>
      <c r="B257" s="41" t="s">
        <v>182</v>
      </c>
      <c r="C257" s="41" t="s">
        <v>96</v>
      </c>
      <c r="D257" s="41" t="s">
        <v>71</v>
      </c>
      <c r="E257" s="42">
        <v>44281</v>
      </c>
      <c r="F257">
        <v>86.7</v>
      </c>
      <c r="G257" t="s">
        <v>359</v>
      </c>
      <c r="I257">
        <v>80</v>
      </c>
      <c r="J257">
        <v>97</v>
      </c>
      <c r="K257" t="s">
        <v>359</v>
      </c>
      <c r="L257" t="s">
        <v>359</v>
      </c>
    </row>
    <row r="258" spans="1:12" x14ac:dyDescent="0.35">
      <c r="A258" s="41" t="s">
        <v>95</v>
      </c>
      <c r="B258" s="41" t="s">
        <v>182</v>
      </c>
      <c r="C258" s="41"/>
      <c r="D258" s="41" t="s">
        <v>11</v>
      </c>
      <c r="E258" s="42">
        <v>43796</v>
      </c>
      <c r="F258">
        <v>87.3</v>
      </c>
      <c r="G258" t="s">
        <v>359</v>
      </c>
      <c r="I258">
        <v>78.2</v>
      </c>
      <c r="J258">
        <v>97.9</v>
      </c>
      <c r="K258" t="s">
        <v>359</v>
      </c>
      <c r="L258" t="s">
        <v>359</v>
      </c>
    </row>
    <row r="259" spans="1:12" x14ac:dyDescent="0.35">
      <c r="A259" s="41" t="s">
        <v>91</v>
      </c>
      <c r="B259" s="41" t="s">
        <v>73</v>
      </c>
      <c r="C259" s="41" t="s">
        <v>80</v>
      </c>
      <c r="D259" s="41" t="s">
        <v>71</v>
      </c>
      <c r="E259" s="42">
        <v>44285</v>
      </c>
      <c r="F259">
        <v>1150</v>
      </c>
      <c r="G259" t="s">
        <v>365</v>
      </c>
      <c r="K259" t="s">
        <v>360</v>
      </c>
      <c r="L259" t="s">
        <v>361</v>
      </c>
    </row>
    <row r="260" spans="1:12" x14ac:dyDescent="0.35">
      <c r="A260" s="41" t="s">
        <v>93</v>
      </c>
      <c r="B260" s="41" t="s">
        <v>84</v>
      </c>
      <c r="C260" s="41" t="s">
        <v>85</v>
      </c>
      <c r="D260" s="41" t="s">
        <v>71</v>
      </c>
      <c r="E260" s="42">
        <v>44285</v>
      </c>
      <c r="F260">
        <v>1400</v>
      </c>
      <c r="G260" t="s">
        <v>365</v>
      </c>
      <c r="K260" t="s">
        <v>360</v>
      </c>
      <c r="L260" t="s">
        <v>361</v>
      </c>
    </row>
    <row r="261" spans="1:12" x14ac:dyDescent="0.35">
      <c r="A261" s="41" t="s">
        <v>93</v>
      </c>
      <c r="B261" s="41" t="s">
        <v>84</v>
      </c>
      <c r="C261" s="41" t="s">
        <v>86</v>
      </c>
      <c r="D261" s="41" t="s">
        <v>71</v>
      </c>
      <c r="E261" s="42">
        <v>44285</v>
      </c>
      <c r="F261">
        <v>1400</v>
      </c>
      <c r="G261" t="s">
        <v>365</v>
      </c>
      <c r="K261" t="s">
        <v>360</v>
      </c>
      <c r="L261" t="s">
        <v>361</v>
      </c>
    </row>
  </sheetData>
  <phoneticPr fontId="1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0143E-3EDD-432F-BB57-EC9B60AF3BAF}">
  <dimension ref="B2:N268"/>
  <sheetViews>
    <sheetView showGridLines="0" tabSelected="1" zoomScaleNormal="100" workbookViewId="0">
      <pane xSplit="4" ySplit="2" topLeftCell="E3" activePane="bottomRight" state="frozen"/>
      <selection pane="topRight" activeCell="D1" sqref="D1"/>
      <selection pane="bottomLeft" activeCell="A3" sqref="A3"/>
      <selection pane="bottomRight" activeCell="B3" sqref="B3:B262"/>
    </sheetView>
  </sheetViews>
  <sheetFormatPr defaultRowHeight="14.5" x14ac:dyDescent="0.35"/>
  <cols>
    <col min="2" max="2" width="50.7265625" bestFit="1" customWidth="1"/>
    <col min="3" max="3" width="50.7265625" customWidth="1"/>
    <col min="4" max="4" width="55.26953125" customWidth="1"/>
    <col min="5" max="5" width="56.54296875" customWidth="1"/>
    <col min="6" max="6" width="30" style="1" customWidth="1"/>
    <col min="7" max="7" width="13.54296875" style="54" customWidth="1"/>
    <col min="8" max="8" width="10.1796875" customWidth="1"/>
    <col min="9" max="9" width="20.7265625" customWidth="1"/>
    <col min="10" max="10" width="10.1796875" customWidth="1"/>
  </cols>
  <sheetData>
    <row r="2" spans="2:14" x14ac:dyDescent="0.35">
      <c r="B2" s="35" t="s">
        <v>430</v>
      </c>
      <c r="C2" s="35" t="s">
        <v>42</v>
      </c>
      <c r="D2" s="36" t="s">
        <v>5</v>
      </c>
      <c r="E2" s="36" t="s">
        <v>43</v>
      </c>
      <c r="F2" s="36" t="s">
        <v>8</v>
      </c>
      <c r="G2" s="53" t="s">
        <v>9</v>
      </c>
      <c r="H2" s="36" t="s">
        <v>10</v>
      </c>
      <c r="I2" s="36" t="s">
        <v>283</v>
      </c>
      <c r="J2" s="36" t="s">
        <v>362</v>
      </c>
      <c r="K2" s="36" t="s">
        <v>6</v>
      </c>
      <c r="L2" s="37" t="s">
        <v>7</v>
      </c>
      <c r="M2" s="36" t="s">
        <v>357</v>
      </c>
      <c r="N2" s="36" t="s">
        <v>358</v>
      </c>
    </row>
    <row r="3" spans="2:14" x14ac:dyDescent="0.35">
      <c r="B3" s="33" t="s">
        <v>431</v>
      </c>
      <c r="C3" s="33" t="s">
        <v>44</v>
      </c>
      <c r="D3" s="2" t="s">
        <v>14</v>
      </c>
      <c r="E3" s="2"/>
      <c r="F3" s="3" t="s">
        <v>146</v>
      </c>
      <c r="G3" s="55">
        <v>39462</v>
      </c>
      <c r="H3" s="43">
        <v>3.1</v>
      </c>
      <c r="I3" s="43" t="str" cm="1">
        <f t="array" ref="I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3" s="43"/>
      <c r="K3" s="43">
        <v>3.5</v>
      </c>
      <c r="L3" s="44">
        <v>7.2</v>
      </c>
      <c r="M3" s="59">
        <f>IF(ISBLANK(Tabela1[[#This Row],[Min]]),"NMin",IF(Tabela1[[#This Row],[Valor]]&lt;Tabela1[[#This Row],[Min]],Tabela1[[#This Row],[Valor]]-Tabela1[[#This Row],[Min]],"Normal"))</f>
        <v>-0.39999999999999991</v>
      </c>
      <c r="N3" s="59" t="str">
        <f>IF(ISBLANK(Tabela1[[#This Row],[Max]]),"NMax",IF(Tabela1[[#This Row],[Valor]]&gt;Tabela1[[#This Row],[Max]],Tabela1[[#This Row],[Valor]]-Tabela1[[#This Row],[Max]],"Normal"))</f>
        <v>Normal</v>
      </c>
    </row>
    <row r="4" spans="2:14" x14ac:dyDescent="0.35">
      <c r="B4" s="33" t="s">
        <v>431</v>
      </c>
      <c r="C4" s="33" t="s">
        <v>44</v>
      </c>
      <c r="D4" s="2" t="s">
        <v>14</v>
      </c>
      <c r="E4" s="2" t="s">
        <v>17</v>
      </c>
      <c r="F4" s="3" t="s">
        <v>11</v>
      </c>
      <c r="G4" s="55">
        <v>44966</v>
      </c>
      <c r="H4" s="43">
        <v>4.9000000000000004</v>
      </c>
      <c r="I4" s="43" t="str" cm="1">
        <f t="array" ref="I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4" s="43"/>
      <c r="K4" s="43">
        <v>3.5</v>
      </c>
      <c r="L4" s="44">
        <v>7.2</v>
      </c>
      <c r="M4" s="57" t="str">
        <f>IF(ISBLANK(Tabela1[[#This Row],[Min]]),"NMin",IF(Tabela1[[#This Row],[Valor]]&lt;Tabela1[[#This Row],[Min]],Tabela1[[#This Row],[Valor]]-Tabela1[[#This Row],[Min]],"Normal"))</f>
        <v>Normal</v>
      </c>
      <c r="N4" s="57" t="str">
        <f>IF(ISBLANK(Tabela1[[#This Row],[Max]]),"NMax",IF(Tabela1[[#This Row],[Valor]]&gt;Tabela1[[#This Row],[Max]],Tabela1[[#This Row],[Valor]]-Tabela1[[#This Row],[Max]],"Normal"))</f>
        <v>Normal</v>
      </c>
    </row>
    <row r="5" spans="2:14" x14ac:dyDescent="0.35">
      <c r="B5" s="33" t="s">
        <v>431</v>
      </c>
      <c r="C5" s="33" t="s">
        <v>93</v>
      </c>
      <c r="D5" s="2" t="s">
        <v>81</v>
      </c>
      <c r="E5" s="2" t="s">
        <v>85</v>
      </c>
      <c r="F5" s="3" t="s">
        <v>71</v>
      </c>
      <c r="G5" s="55">
        <v>44285</v>
      </c>
      <c r="H5" s="43">
        <v>3</v>
      </c>
      <c r="I5" s="43" t="str" cm="1">
        <f t="array" ref="I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5" s="43"/>
      <c r="K5" s="43"/>
      <c r="L5" s="44">
        <v>18</v>
      </c>
      <c r="M5" s="57" t="str">
        <f>IF(ISBLANK(Tabela1[[#This Row],[Min]]),"NMin",IF(Tabela1[[#This Row],[Valor]]&lt;Tabela1[[#This Row],[Min]],Tabela1[[#This Row],[Valor]]-Tabela1[[#This Row],[Min]],"Normal"))</f>
        <v>NMin</v>
      </c>
      <c r="N5" s="57" t="str">
        <f>IF(ISBLANK(Tabela1[[#This Row],[Max]]),"NMax",IF(Tabela1[[#This Row],[Valor]]&gt;Tabela1[[#This Row],[Max]],Tabela1[[#This Row],[Valor]]-Tabela1[[#This Row],[Max]],"Normal"))</f>
        <v>Normal</v>
      </c>
    </row>
    <row r="6" spans="2:14" x14ac:dyDescent="0.35">
      <c r="B6" s="33" t="s">
        <v>431</v>
      </c>
      <c r="C6" s="33" t="s">
        <v>44</v>
      </c>
      <c r="D6" s="2" t="s">
        <v>29</v>
      </c>
      <c r="E6" s="2"/>
      <c r="F6" s="3" t="s">
        <v>146</v>
      </c>
      <c r="G6" s="55">
        <v>39462</v>
      </c>
      <c r="H6" s="43">
        <v>38</v>
      </c>
      <c r="I6" s="43" t="str" cm="1">
        <f t="array" ref="I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6" s="43"/>
      <c r="K6" s="43">
        <v>8</v>
      </c>
      <c r="L6" s="44">
        <v>53</v>
      </c>
      <c r="M6" s="57" t="str">
        <f>IF(ISBLANK(Tabela1[[#This Row],[Min]]),"NMin",IF(Tabela1[[#This Row],[Valor]]&lt;Tabela1[[#This Row],[Min]],Tabela1[[#This Row],[Valor]]-Tabela1[[#This Row],[Min]],"Normal"))</f>
        <v>Normal</v>
      </c>
      <c r="N6" s="57" t="str">
        <f>IF(ISBLANK(Tabela1[[#This Row],[Max]]),"NMax",IF(Tabela1[[#This Row],[Valor]]&gt;Tabela1[[#This Row],[Max]],Tabela1[[#This Row],[Valor]]-Tabela1[[#This Row],[Max]],"Normal"))</f>
        <v>Normal</v>
      </c>
    </row>
    <row r="7" spans="2:14" x14ac:dyDescent="0.35">
      <c r="B7" s="33" t="s">
        <v>431</v>
      </c>
      <c r="C7" s="33" t="s">
        <v>44</v>
      </c>
      <c r="D7" s="2" t="s">
        <v>29</v>
      </c>
      <c r="E7" s="2" t="s">
        <v>28</v>
      </c>
      <c r="F7" s="3" t="s">
        <v>11</v>
      </c>
      <c r="G7" s="55">
        <v>44625</v>
      </c>
      <c r="H7" s="43">
        <v>40</v>
      </c>
      <c r="I7" s="43" t="str" cm="1">
        <f t="array" ref="I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7" s="43"/>
      <c r="K7" s="43">
        <v>10</v>
      </c>
      <c r="L7" s="44">
        <v>49</v>
      </c>
      <c r="M7" s="57" t="str">
        <f>IF(ISBLANK(Tabela1[[#This Row],[Min]]),"NMin",IF(Tabela1[[#This Row],[Valor]]&lt;Tabela1[[#This Row],[Min]],Tabela1[[#This Row],[Valor]]-Tabela1[[#This Row],[Min]],"Normal"))</f>
        <v>Normal</v>
      </c>
      <c r="N7" s="57" t="str">
        <f>IF(ISBLANK(Tabela1[[#This Row],[Max]]),"NMax",IF(Tabela1[[#This Row],[Valor]]&gt;Tabela1[[#This Row],[Max]],Tabela1[[#This Row],[Valor]]-Tabela1[[#This Row],[Max]],"Normal"))</f>
        <v>Normal</v>
      </c>
    </row>
    <row r="8" spans="2:14" x14ac:dyDescent="0.35">
      <c r="B8" s="33" t="s">
        <v>431</v>
      </c>
      <c r="C8" s="33" t="s">
        <v>44</v>
      </c>
      <c r="D8" s="2" t="s">
        <v>29</v>
      </c>
      <c r="E8" s="2" t="s">
        <v>28</v>
      </c>
      <c r="F8" s="3" t="s">
        <v>11</v>
      </c>
      <c r="G8" s="55">
        <v>43796</v>
      </c>
      <c r="H8" s="43">
        <v>43</v>
      </c>
      <c r="I8" s="43" t="str" cm="1">
        <f t="array" ref="I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8" s="43"/>
      <c r="K8" s="43">
        <v>10</v>
      </c>
      <c r="L8" s="44">
        <v>49</v>
      </c>
      <c r="M8" s="57" t="str">
        <f>IF(ISBLANK(Tabela1[[#This Row],[Min]]),"NMin",IF(Tabela1[[#This Row],[Valor]]&lt;Tabela1[[#This Row],[Min]],Tabela1[[#This Row],[Valor]]-Tabela1[[#This Row],[Min]],"Normal"))</f>
        <v>Normal</v>
      </c>
      <c r="N8" s="57" t="str">
        <f>IF(ISBLANK(Tabela1[[#This Row],[Max]]),"NMax",IF(Tabela1[[#This Row],[Valor]]&gt;Tabela1[[#This Row],[Max]],Tabela1[[#This Row],[Valor]]-Tabela1[[#This Row],[Max]],"Normal"))</f>
        <v>Normal</v>
      </c>
    </row>
    <row r="9" spans="2:14" x14ac:dyDescent="0.35">
      <c r="B9" s="33" t="s">
        <v>431</v>
      </c>
      <c r="C9" s="33" t="s">
        <v>44</v>
      </c>
      <c r="D9" s="2" t="s">
        <v>29</v>
      </c>
      <c r="E9" s="2" t="s">
        <v>28</v>
      </c>
      <c r="F9" s="3" t="s">
        <v>11</v>
      </c>
      <c r="G9" s="55">
        <v>44966</v>
      </c>
      <c r="H9" s="43">
        <v>59</v>
      </c>
      <c r="I9" s="43" t="str" cm="1">
        <f t="array" ref="I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9" s="43"/>
      <c r="K9" s="43">
        <v>10</v>
      </c>
      <c r="L9" s="44">
        <v>49</v>
      </c>
      <c r="M9" s="57" t="str">
        <f>IF(ISBLANK(Tabela1[[#This Row],[Min]]),"NMin",IF(Tabela1[[#This Row],[Valor]]&lt;Tabela1[[#This Row],[Min]],Tabela1[[#This Row],[Valor]]-Tabela1[[#This Row],[Min]],"Normal"))</f>
        <v>Normal</v>
      </c>
      <c r="N9" s="57">
        <f>IF(ISBLANK(Tabela1[[#This Row],[Max]]),"NMax",IF(Tabela1[[#This Row],[Valor]]&gt;Tabela1[[#This Row],[Max]],Tabela1[[#This Row],[Valor]]-Tabela1[[#This Row],[Max]],"Normal"))</f>
        <v>10</v>
      </c>
    </row>
    <row r="10" spans="2:14" x14ac:dyDescent="0.35">
      <c r="B10" s="33" t="s">
        <v>431</v>
      </c>
      <c r="C10" s="33" t="s">
        <v>44</v>
      </c>
      <c r="D10" s="2" t="s">
        <v>27</v>
      </c>
      <c r="E10" s="2" t="s">
        <v>28</v>
      </c>
      <c r="F10" s="3" t="s">
        <v>11</v>
      </c>
      <c r="G10" s="55">
        <v>45591</v>
      </c>
      <c r="H10" s="43">
        <v>24</v>
      </c>
      <c r="I10" s="43" t="str" cm="1">
        <f t="array" ref="I1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0" s="43"/>
      <c r="K10" s="43"/>
      <c r="L10" s="44">
        <v>34</v>
      </c>
      <c r="M10" s="57" t="str">
        <f>IF(ISBLANK(Tabela1[[#This Row],[Min]]),"NMin",IF(Tabela1[[#This Row],[Valor]]&lt;Tabela1[[#This Row],[Min]],Tabela1[[#This Row],[Valor]]-Tabela1[[#This Row],[Min]],"Normal"))</f>
        <v>NMin</v>
      </c>
      <c r="N10" s="57" t="str">
        <f>IF(ISBLANK(Tabela1[[#This Row],[Max]]),"NMax",IF(Tabela1[[#This Row],[Valor]]&gt;Tabela1[[#This Row],[Max]],Tabela1[[#This Row],[Valor]]-Tabela1[[#This Row],[Max]],"Normal"))</f>
        <v>Normal</v>
      </c>
    </row>
    <row r="11" spans="2:14" x14ac:dyDescent="0.35">
      <c r="B11" s="33" t="s">
        <v>431</v>
      </c>
      <c r="C11" s="33" t="s">
        <v>166</v>
      </c>
      <c r="D11" s="2" t="s">
        <v>167</v>
      </c>
      <c r="E11" s="2"/>
      <c r="F11" s="3" t="s">
        <v>146</v>
      </c>
      <c r="G11" s="55">
        <v>43115</v>
      </c>
      <c r="H11" s="4">
        <v>0.72099999999999997</v>
      </c>
      <c r="I11" s="4" t="str" cm="1">
        <f t="array" ref="I1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11" s="61" t="s">
        <v>363</v>
      </c>
      <c r="K11" s="8">
        <v>0.55000000000000004</v>
      </c>
      <c r="L11" s="45">
        <v>0.66</v>
      </c>
      <c r="M11" s="58" t="str">
        <f>IF(ISBLANK(Tabela1[[#This Row],[Min]]),"NMin",IF(Tabela1[[#This Row],[Valor]]&lt;Tabela1[[#This Row],[Min]],Tabela1[[#This Row],[Valor]]-Tabela1[[#This Row],[Min]],"Normal"))</f>
        <v>Normal</v>
      </c>
      <c r="N11" s="57">
        <f>IF(ISBLANK(Tabela1[[#This Row],[Max]]),"NMax",IF(Tabela1[[#This Row],[Valor]]&gt;Tabela1[[#This Row],[Max]],Tabela1[[#This Row],[Valor]]-Tabela1[[#This Row],[Max]],"Normal"))</f>
        <v>6.0999999999999943E-2</v>
      </c>
    </row>
    <row r="12" spans="2:14" x14ac:dyDescent="0.35">
      <c r="B12" s="33" t="s">
        <v>431</v>
      </c>
      <c r="C12" s="33" t="s">
        <v>158</v>
      </c>
      <c r="D12" s="2" t="s">
        <v>161</v>
      </c>
      <c r="E12" s="2"/>
      <c r="F12" s="3" t="s">
        <v>71</v>
      </c>
      <c r="G12" s="55">
        <v>43838</v>
      </c>
      <c r="H12" s="43">
        <v>0.1</v>
      </c>
      <c r="I12" s="43" t="str" cm="1">
        <f t="array" ref="I1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12" s="43"/>
      <c r="K12" s="43"/>
      <c r="L12" s="44"/>
      <c r="M12" s="57" t="str">
        <f>IF(ISBLANK(Tabela1[[#This Row],[Min]]),"NMin",IF(Tabela1[[#This Row],[Valor]]&lt;Tabela1[[#This Row],[Min]],Tabela1[[#This Row],[Valor]]-Tabela1[[#This Row],[Min]],"Normal"))</f>
        <v>NMin</v>
      </c>
      <c r="N12" s="57" t="str">
        <f>IF(ISBLANK(Tabela1[[#This Row],[Max]]),"NMax",IF(Tabela1[[#This Row],[Valor]]&gt;Tabela1[[#This Row],[Max]],Tabela1[[#This Row],[Valor]]-Tabela1[[#This Row],[Max]],"Normal"))</f>
        <v>NMax</v>
      </c>
    </row>
    <row r="13" spans="2:14" x14ac:dyDescent="0.35">
      <c r="B13" s="33" t="s">
        <v>431</v>
      </c>
      <c r="C13" s="33" t="s">
        <v>158</v>
      </c>
      <c r="D13" s="2" t="s">
        <v>161</v>
      </c>
      <c r="E13" s="2"/>
      <c r="F13" s="3" t="s">
        <v>11</v>
      </c>
      <c r="G13" s="55">
        <v>44966</v>
      </c>
      <c r="H13" s="43">
        <v>10.199999999999999</v>
      </c>
      <c r="I13" s="43" t="str" cm="1">
        <f t="array" ref="I1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13" s="43"/>
      <c r="K13" s="43"/>
      <c r="L13" s="44">
        <v>8</v>
      </c>
      <c r="M13" s="57" t="str">
        <f>IF(ISBLANK(Tabela1[[#This Row],[Min]]),"NMin",IF(Tabela1[[#This Row],[Valor]]&lt;Tabela1[[#This Row],[Min]],Tabela1[[#This Row],[Valor]]-Tabela1[[#This Row],[Min]],"Normal"))</f>
        <v>NMin</v>
      </c>
      <c r="N13" s="57">
        <f>IF(ISBLANK(Tabela1[[#This Row],[Max]]),"NMax",IF(Tabela1[[#This Row],[Valor]]&gt;Tabela1[[#This Row],[Max]],Tabela1[[#This Row],[Valor]]-Tabela1[[#This Row],[Max]],"Normal"))</f>
        <v>2.1999999999999993</v>
      </c>
    </row>
    <row r="14" spans="2:14" x14ac:dyDescent="0.35">
      <c r="B14" s="33" t="s">
        <v>431</v>
      </c>
      <c r="C14" s="33" t="s">
        <v>158</v>
      </c>
      <c r="D14" s="2" t="s">
        <v>161</v>
      </c>
      <c r="E14" s="2"/>
      <c r="F14" s="3" t="s">
        <v>146</v>
      </c>
      <c r="G14" s="55">
        <v>39462</v>
      </c>
      <c r="H14" s="43">
        <v>21.46</v>
      </c>
      <c r="I14" s="43" t="str" cm="1">
        <f t="array" ref="I1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14" s="43"/>
      <c r="K14" s="43"/>
      <c r="L14" s="44">
        <v>10</v>
      </c>
      <c r="M14" s="57" t="str">
        <f>IF(ISBLANK(Tabela1[[#This Row],[Min]]),"NMin",IF(Tabela1[[#This Row],[Valor]]&lt;Tabela1[[#This Row],[Min]],Tabela1[[#This Row],[Valor]]-Tabela1[[#This Row],[Min]],"Normal"))</f>
        <v>NMin</v>
      </c>
      <c r="N14" s="57">
        <f>IF(ISBLANK(Tabela1[[#This Row],[Max]]),"NMax",IF(Tabela1[[#This Row],[Valor]]&gt;Tabela1[[#This Row],[Max]],Tabela1[[#This Row],[Valor]]-Tabela1[[#This Row],[Max]],"Normal"))</f>
        <v>11.46</v>
      </c>
    </row>
    <row r="15" spans="2:14" x14ac:dyDescent="0.35">
      <c r="B15" s="33" t="s">
        <v>431</v>
      </c>
      <c r="C15" s="33" t="s">
        <v>158</v>
      </c>
      <c r="D15" s="2" t="s">
        <v>174</v>
      </c>
      <c r="E15" s="2"/>
      <c r="F15" s="3" t="s">
        <v>71</v>
      </c>
      <c r="G15" s="55">
        <v>43838</v>
      </c>
      <c r="H15" s="2" t="s">
        <v>175</v>
      </c>
      <c r="I15" s="43" t="str" cm="1">
        <f t="array" ref="I1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Positivo/Negativo</v>
      </c>
      <c r="J15" s="2"/>
      <c r="K15" s="43"/>
      <c r="L15" s="44"/>
      <c r="M15" s="57" t="str">
        <f>IF(ISBLANK(Tabela1[[#This Row],[Min]]),"NMin",IF(Tabela1[[#This Row],[Valor]]&lt;Tabela1[[#This Row],[Min]],Tabela1[[#This Row],[Valor]]-Tabela1[[#This Row],[Min]],"Normal"))</f>
        <v>NMin</v>
      </c>
      <c r="N15" s="57" t="str">
        <f>IF(ISBLANK(Tabela1[[#This Row],[Max]]),"NMax",IF(Tabela1[[#This Row],[Valor]]&gt;Tabela1[[#This Row],[Max]],Tabela1[[#This Row],[Valor]]-Tabela1[[#This Row],[Max]],"Normal"))</f>
        <v>NMax</v>
      </c>
    </row>
    <row r="16" spans="2:14" x14ac:dyDescent="0.35">
      <c r="B16" s="33" t="s">
        <v>431</v>
      </c>
      <c r="C16" s="33" t="s">
        <v>158</v>
      </c>
      <c r="D16" s="2" t="s">
        <v>160</v>
      </c>
      <c r="E16" s="2"/>
      <c r="F16" s="3" t="s">
        <v>146</v>
      </c>
      <c r="G16" s="55">
        <v>39462</v>
      </c>
      <c r="H16" s="43">
        <v>0.05</v>
      </c>
      <c r="I16" s="43" t="str" cm="1">
        <f t="array" ref="I1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6" s="43"/>
      <c r="K16" s="43"/>
      <c r="L16" s="44">
        <v>1</v>
      </c>
      <c r="M16" s="57" t="str">
        <f>IF(ISBLANK(Tabela1[[#This Row],[Min]]),"NMin",IF(Tabela1[[#This Row],[Valor]]&lt;Tabela1[[#This Row],[Min]],Tabela1[[#This Row],[Valor]]-Tabela1[[#This Row],[Min]],"Normal"))</f>
        <v>NMin</v>
      </c>
      <c r="N16" s="57" t="str">
        <f>IF(ISBLANK(Tabela1[[#This Row],[Max]]),"NMax",IF(Tabela1[[#This Row],[Valor]]&gt;Tabela1[[#This Row],[Max]],Tabela1[[#This Row],[Valor]]-Tabela1[[#This Row],[Max]],"Normal"))</f>
        <v>Normal</v>
      </c>
    </row>
    <row r="17" spans="2:14" x14ac:dyDescent="0.35">
      <c r="B17" s="33" t="s">
        <v>431</v>
      </c>
      <c r="C17" s="33" t="s">
        <v>158</v>
      </c>
      <c r="D17" s="2" t="s">
        <v>160</v>
      </c>
      <c r="E17" s="2"/>
      <c r="F17" s="3" t="s">
        <v>11</v>
      </c>
      <c r="G17" s="55">
        <v>44966</v>
      </c>
      <c r="H17" s="43">
        <v>0.1</v>
      </c>
      <c r="I17" s="43" t="str" cm="1">
        <f t="array" ref="I1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7" s="43"/>
      <c r="K17" s="43"/>
      <c r="L17" s="44">
        <v>0.8</v>
      </c>
      <c r="M17" s="57" t="str">
        <f>IF(ISBLANK(Tabela1[[#This Row],[Min]]),"NMin",IF(Tabela1[[#This Row],[Valor]]&lt;Tabela1[[#This Row],[Min]],Tabela1[[#This Row],[Valor]]-Tabela1[[#This Row],[Min]],"Normal"))</f>
        <v>NMin</v>
      </c>
      <c r="N17" s="57" t="str">
        <f>IF(ISBLANK(Tabela1[[#This Row],[Max]]),"NMax",IF(Tabela1[[#This Row],[Valor]]&gt;Tabela1[[#This Row],[Max]],Tabela1[[#This Row],[Valor]]-Tabela1[[#This Row],[Max]],"Normal"))</f>
        <v>Normal</v>
      </c>
    </row>
    <row r="18" spans="2:14" x14ac:dyDescent="0.35">
      <c r="B18" s="33" t="s">
        <v>431</v>
      </c>
      <c r="C18" s="33" t="s">
        <v>158</v>
      </c>
      <c r="D18" s="2" t="s">
        <v>160</v>
      </c>
      <c r="E18" s="2"/>
      <c r="F18" s="3" t="s">
        <v>71</v>
      </c>
      <c r="G18" s="55">
        <v>43838</v>
      </c>
      <c r="H18" s="2" t="s">
        <v>33</v>
      </c>
      <c r="I18" s="43" t="str" cm="1">
        <f t="array" ref="I1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Positivo/Negativo</v>
      </c>
      <c r="J18" s="2"/>
      <c r="K18" s="43"/>
      <c r="L18" s="44"/>
      <c r="M18" s="57" t="str">
        <f>IF(ISBLANK(Tabela1[[#This Row],[Min]]),"NMin",IF(Tabela1[[#This Row],[Valor]]&lt;Tabela1[[#This Row],[Min]],Tabela1[[#This Row],[Valor]]-Tabela1[[#This Row],[Min]],"Normal"))</f>
        <v>NMin</v>
      </c>
      <c r="N18" s="57" t="str">
        <f>IF(ISBLANK(Tabela1[[#This Row],[Max]]),"NMax",IF(Tabela1[[#This Row],[Valor]]&gt;Tabela1[[#This Row],[Max]],Tabela1[[#This Row],[Valor]]-Tabela1[[#This Row],[Max]],"Normal"))</f>
        <v>NMax</v>
      </c>
    </row>
    <row r="19" spans="2:14" x14ac:dyDescent="0.35">
      <c r="B19" s="33" t="s">
        <v>431</v>
      </c>
      <c r="C19" s="33" t="s">
        <v>162</v>
      </c>
      <c r="D19" s="2" t="s">
        <v>164</v>
      </c>
      <c r="E19" s="2"/>
      <c r="F19" s="3" t="s">
        <v>71</v>
      </c>
      <c r="G19" s="55">
        <v>43838</v>
      </c>
      <c r="H19" s="43">
        <v>0.16</v>
      </c>
      <c r="I19" s="43" t="str" cm="1">
        <f t="array" ref="I1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9" s="43"/>
      <c r="K19" s="43"/>
      <c r="L19" s="44">
        <v>1</v>
      </c>
      <c r="M19" s="57" t="str">
        <f>IF(ISBLANK(Tabela1[[#This Row],[Min]]),"NMin",IF(Tabela1[[#This Row],[Valor]]&lt;Tabela1[[#This Row],[Min]],Tabela1[[#This Row],[Valor]]-Tabela1[[#This Row],[Min]],"Normal"))</f>
        <v>NMin</v>
      </c>
      <c r="N19" s="57" t="str">
        <f>IF(ISBLANK(Tabela1[[#This Row],[Max]]),"NMax",IF(Tabela1[[#This Row],[Valor]]&gt;Tabela1[[#This Row],[Max]],Tabela1[[#This Row],[Valor]]-Tabela1[[#This Row],[Max]],"Normal"))</f>
        <v>Normal</v>
      </c>
    </row>
    <row r="20" spans="2:14" x14ac:dyDescent="0.35">
      <c r="B20" s="33" t="s">
        <v>431</v>
      </c>
      <c r="C20" s="33" t="s">
        <v>162</v>
      </c>
      <c r="D20" s="2" t="s">
        <v>164</v>
      </c>
      <c r="E20" s="2"/>
      <c r="F20" s="3" t="s">
        <v>146</v>
      </c>
      <c r="G20" s="55">
        <v>43115</v>
      </c>
      <c r="H20" s="2" t="s">
        <v>33</v>
      </c>
      <c r="I20" s="43" t="str" cm="1">
        <f t="array" ref="I2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Positivo/Negativo</v>
      </c>
      <c r="J20" s="2"/>
      <c r="K20" s="43"/>
      <c r="L20" s="44"/>
      <c r="M20" s="57" t="str">
        <f>IF(ISBLANK(Tabela1[[#This Row],[Min]]),"NMin",IF(Tabela1[[#This Row],[Valor]]&lt;Tabela1[[#This Row],[Min]],Tabela1[[#This Row],[Valor]]-Tabela1[[#This Row],[Min]],"Normal"))</f>
        <v>NMin</v>
      </c>
      <c r="N20" s="57" t="str">
        <f>IF(ISBLANK(Tabela1[[#This Row],[Max]]),"NMax",IF(Tabela1[[#This Row],[Valor]]&gt;Tabela1[[#This Row],[Max]],Tabela1[[#This Row],[Valor]]-Tabela1[[#This Row],[Max]],"Normal"))</f>
        <v>NMax</v>
      </c>
    </row>
    <row r="21" spans="2:14" x14ac:dyDescent="0.35">
      <c r="B21" s="33" t="s">
        <v>431</v>
      </c>
      <c r="C21" s="33" t="s">
        <v>158</v>
      </c>
      <c r="D21" s="2" t="s">
        <v>177</v>
      </c>
      <c r="E21" s="2"/>
      <c r="F21" s="3" t="s">
        <v>11</v>
      </c>
      <c r="G21" s="55">
        <v>44966</v>
      </c>
      <c r="H21" s="43">
        <v>0.1</v>
      </c>
      <c r="I21" s="43" t="str" cm="1">
        <f t="array" ref="I2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1" s="43"/>
      <c r="K21" s="43"/>
      <c r="L21" s="44">
        <v>0.5</v>
      </c>
      <c r="M21" s="57" t="str">
        <f>IF(ISBLANK(Tabela1[[#This Row],[Min]]),"NMin",IF(Tabela1[[#This Row],[Valor]]&lt;Tabela1[[#This Row],[Min]],Tabela1[[#This Row],[Valor]]-Tabela1[[#This Row],[Min]],"Normal"))</f>
        <v>NMin</v>
      </c>
      <c r="N21" s="57" t="str">
        <f>IF(ISBLANK(Tabela1[[#This Row],[Max]]),"NMax",IF(Tabela1[[#This Row],[Valor]]&gt;Tabela1[[#This Row],[Max]],Tabela1[[#This Row],[Valor]]-Tabela1[[#This Row],[Max]],"Normal"))</f>
        <v>Normal</v>
      </c>
    </row>
    <row r="22" spans="2:14" x14ac:dyDescent="0.35">
      <c r="B22" s="33" t="s">
        <v>431</v>
      </c>
      <c r="C22" s="33" t="s">
        <v>162</v>
      </c>
      <c r="D22" s="2" t="s">
        <v>37</v>
      </c>
      <c r="E22" s="2" t="s">
        <v>32</v>
      </c>
      <c r="F22" s="3" t="s">
        <v>11</v>
      </c>
      <c r="G22" s="55">
        <v>44966</v>
      </c>
      <c r="H22" s="43">
        <v>0.2</v>
      </c>
      <c r="I22" s="43" t="str" cm="1">
        <f t="array" ref="I2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2" s="43"/>
      <c r="K22" s="43"/>
      <c r="L22" s="44">
        <v>0.9</v>
      </c>
      <c r="M22" s="57" t="str">
        <f>IF(ISBLANK(Tabela1[[#This Row],[Min]]),"NMin",IF(Tabela1[[#This Row],[Valor]]&lt;Tabela1[[#This Row],[Min]],Tabela1[[#This Row],[Valor]]-Tabela1[[#This Row],[Min]],"Normal"))</f>
        <v>NMin</v>
      </c>
      <c r="N22" s="57" t="str">
        <f>IF(ISBLANK(Tabela1[[#This Row],[Max]]),"NMax",IF(Tabela1[[#This Row],[Valor]]&gt;Tabela1[[#This Row],[Max]],Tabela1[[#This Row],[Valor]]-Tabela1[[#This Row],[Max]],"Normal"))</f>
        <v>Normal</v>
      </c>
    </row>
    <row r="23" spans="2:14" x14ac:dyDescent="0.35">
      <c r="B23" s="33" t="s">
        <v>431</v>
      </c>
      <c r="C23" s="33" t="s">
        <v>156</v>
      </c>
      <c r="D23" s="2" t="s">
        <v>157</v>
      </c>
      <c r="E23" s="2"/>
      <c r="F23" s="3" t="s">
        <v>146</v>
      </c>
      <c r="G23" s="55">
        <v>39462</v>
      </c>
      <c r="H23" s="43">
        <v>1.5</v>
      </c>
      <c r="I23" s="43" t="str" cm="1">
        <f t="array" ref="I2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3" s="43"/>
      <c r="K23" s="43"/>
      <c r="L23" s="44">
        <v>3</v>
      </c>
      <c r="M23" s="57" t="str">
        <f>IF(ISBLANK(Tabela1[[#This Row],[Min]]),"NMin",IF(Tabela1[[#This Row],[Valor]]&lt;Tabela1[[#This Row],[Min]],Tabela1[[#This Row],[Valor]]-Tabela1[[#This Row],[Min]],"Normal"))</f>
        <v>NMin</v>
      </c>
      <c r="N23" s="57" t="str">
        <f>IF(ISBLANK(Tabela1[[#This Row],[Max]]),"NMax",IF(Tabela1[[#This Row],[Valor]]&gt;Tabela1[[#This Row],[Max]],Tabela1[[#This Row],[Valor]]-Tabela1[[#This Row],[Max]],"Normal"))</f>
        <v>Normal</v>
      </c>
    </row>
    <row r="24" spans="2:14" x14ac:dyDescent="0.35">
      <c r="B24" s="33" t="s">
        <v>431</v>
      </c>
      <c r="C24" s="33" t="s">
        <v>158</v>
      </c>
      <c r="D24" s="2" t="s">
        <v>159</v>
      </c>
      <c r="E24" s="2"/>
      <c r="F24" s="3" t="s">
        <v>146</v>
      </c>
      <c r="G24" s="55">
        <v>39462</v>
      </c>
      <c r="H24" s="43">
        <v>0</v>
      </c>
      <c r="I24" s="43" t="str" cm="1">
        <f t="array" ref="I2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4" s="43"/>
      <c r="K24" s="43"/>
      <c r="L24" s="44">
        <v>0.05</v>
      </c>
      <c r="M24" s="57" t="str">
        <f>IF(ISBLANK(Tabela1[[#This Row],[Min]]),"NMin",IF(Tabela1[[#This Row],[Valor]]&lt;Tabela1[[#This Row],[Min]],Tabela1[[#This Row],[Valor]]-Tabela1[[#This Row],[Min]],"Normal"))</f>
        <v>NMin</v>
      </c>
      <c r="N24" s="57" t="str">
        <f>IF(ISBLANK(Tabela1[[#This Row],[Max]]),"NMax",IF(Tabela1[[#This Row],[Valor]]&gt;Tabela1[[#This Row],[Max]],Tabela1[[#This Row],[Valor]]-Tabela1[[#This Row],[Max]],"Normal"))</f>
        <v>Normal</v>
      </c>
    </row>
    <row r="25" spans="2:14" x14ac:dyDescent="0.35">
      <c r="B25" s="33" t="s">
        <v>431</v>
      </c>
      <c r="C25" s="33" t="s">
        <v>158</v>
      </c>
      <c r="D25" s="2" t="s">
        <v>176</v>
      </c>
      <c r="E25" s="2"/>
      <c r="F25" s="3" t="s">
        <v>11</v>
      </c>
      <c r="G25" s="55">
        <v>44966</v>
      </c>
      <c r="H25" s="43">
        <v>0.1</v>
      </c>
      <c r="I25" s="43" t="str" cm="1">
        <f t="array" ref="I2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5" s="43"/>
      <c r="K25" s="43"/>
      <c r="L25" s="44">
        <v>0.9</v>
      </c>
      <c r="M25" s="57" t="str">
        <f>IF(ISBLANK(Tabela1[[#This Row],[Min]]),"NMin",IF(Tabela1[[#This Row],[Valor]]&lt;Tabela1[[#This Row],[Min]],Tabela1[[#This Row],[Valor]]-Tabela1[[#This Row],[Min]],"Normal"))</f>
        <v>NMin</v>
      </c>
      <c r="N25" s="57" t="str">
        <f>IF(ISBLANK(Tabela1[[#This Row],[Max]]),"NMax",IF(Tabela1[[#This Row],[Valor]]&gt;Tabela1[[#This Row],[Max]],Tabela1[[#This Row],[Valor]]-Tabela1[[#This Row],[Max]],"Normal"))</f>
        <v>Normal</v>
      </c>
    </row>
    <row r="26" spans="2:14" x14ac:dyDescent="0.35">
      <c r="B26" s="33" t="s">
        <v>431</v>
      </c>
      <c r="C26" s="33" t="s">
        <v>44</v>
      </c>
      <c r="D26" s="2" t="s">
        <v>27</v>
      </c>
      <c r="E26" s="2"/>
      <c r="F26" s="3" t="s">
        <v>143</v>
      </c>
      <c r="G26" s="55">
        <v>41291</v>
      </c>
      <c r="H26" s="43">
        <v>22</v>
      </c>
      <c r="I26" s="43" t="str" cm="1">
        <f t="array" ref="I2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6" s="43"/>
      <c r="K26" s="43">
        <v>17</v>
      </c>
      <c r="L26" s="44">
        <v>59</v>
      </c>
      <c r="M26" s="57" t="str">
        <f>IF(ISBLANK(Tabela1[[#This Row],[Min]]),"NMin",IF(Tabela1[[#This Row],[Valor]]&lt;Tabela1[[#This Row],[Min]],Tabela1[[#This Row],[Valor]]-Tabela1[[#This Row],[Min]],"Normal"))</f>
        <v>Normal</v>
      </c>
      <c r="N26" s="57" t="str">
        <f>IF(ISBLANK(Tabela1[[#This Row],[Max]]),"NMax",IF(Tabela1[[#This Row],[Valor]]&gt;Tabela1[[#This Row],[Max]],Tabela1[[#This Row],[Valor]]-Tabela1[[#This Row],[Max]],"Normal"))</f>
        <v>Normal</v>
      </c>
    </row>
    <row r="27" spans="2:14" x14ac:dyDescent="0.35">
      <c r="B27" s="33" t="s">
        <v>431</v>
      </c>
      <c r="C27" s="33" t="s">
        <v>44</v>
      </c>
      <c r="D27" s="2" t="s">
        <v>27</v>
      </c>
      <c r="E27" s="2"/>
      <c r="F27" s="3" t="s">
        <v>146</v>
      </c>
      <c r="G27" s="55">
        <v>39462</v>
      </c>
      <c r="H27" s="43">
        <v>22</v>
      </c>
      <c r="I27" s="43" t="str" cm="1">
        <f t="array" ref="I2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7" s="43"/>
      <c r="K27" s="43">
        <v>8</v>
      </c>
      <c r="L27" s="44">
        <v>40</v>
      </c>
      <c r="M27" s="57" t="str">
        <f>IF(ISBLANK(Tabela1[[#This Row],[Min]]),"NMin",IF(Tabela1[[#This Row],[Valor]]&lt;Tabela1[[#This Row],[Min]],Tabela1[[#This Row],[Valor]]-Tabela1[[#This Row],[Min]],"Normal"))</f>
        <v>Normal</v>
      </c>
      <c r="N27" s="57" t="str">
        <f>IF(ISBLANK(Tabela1[[#This Row],[Max]]),"NMax",IF(Tabela1[[#This Row],[Valor]]&gt;Tabela1[[#This Row],[Max]],Tabela1[[#This Row],[Valor]]-Tabela1[[#This Row],[Max]],"Normal"))</f>
        <v>Normal</v>
      </c>
    </row>
    <row r="28" spans="2:14" x14ac:dyDescent="0.35">
      <c r="B28" s="33" t="s">
        <v>431</v>
      </c>
      <c r="C28" s="33" t="s">
        <v>44</v>
      </c>
      <c r="D28" s="2" t="s">
        <v>27</v>
      </c>
      <c r="E28" s="2" t="s">
        <v>28</v>
      </c>
      <c r="F28" s="3" t="s">
        <v>11</v>
      </c>
      <c r="G28" s="55">
        <v>43796</v>
      </c>
      <c r="H28" s="43">
        <v>23</v>
      </c>
      <c r="I28" s="43" t="str" cm="1">
        <f t="array" ref="I2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8" s="43"/>
      <c r="K28" s="43"/>
      <c r="L28" s="44">
        <v>34</v>
      </c>
      <c r="M28" s="57" t="str">
        <f>IF(ISBLANK(Tabela1[[#This Row],[Min]]),"NMin",IF(Tabela1[[#This Row],[Valor]]&lt;Tabela1[[#This Row],[Min]],Tabela1[[#This Row],[Valor]]-Tabela1[[#This Row],[Min]],"Normal"))</f>
        <v>NMin</v>
      </c>
      <c r="N28" s="57" t="str">
        <f>IF(ISBLANK(Tabela1[[#This Row],[Max]]),"NMax",IF(Tabela1[[#This Row],[Valor]]&gt;Tabela1[[#This Row],[Max]],Tabela1[[#This Row],[Valor]]-Tabela1[[#This Row],[Max]],"Normal"))</f>
        <v>Normal</v>
      </c>
    </row>
    <row r="29" spans="2:14" x14ac:dyDescent="0.35">
      <c r="B29" s="33" t="s">
        <v>431</v>
      </c>
      <c r="C29" s="33" t="s">
        <v>44</v>
      </c>
      <c r="D29" s="2" t="s">
        <v>27</v>
      </c>
      <c r="E29" s="2" t="s">
        <v>28</v>
      </c>
      <c r="F29" s="3" t="s">
        <v>11</v>
      </c>
      <c r="G29" s="55">
        <v>44625</v>
      </c>
      <c r="H29" s="43">
        <v>25</v>
      </c>
      <c r="I29" s="43" t="str" cm="1">
        <f t="array" ref="I2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9" s="43"/>
      <c r="K29" s="43"/>
      <c r="L29" s="44">
        <v>34</v>
      </c>
      <c r="M29" s="57" t="str">
        <f>IF(ISBLANK(Tabela1[[#This Row],[Min]]),"NMin",IF(Tabela1[[#This Row],[Valor]]&lt;Tabela1[[#This Row],[Min]],Tabela1[[#This Row],[Valor]]-Tabela1[[#This Row],[Min]],"Normal"))</f>
        <v>NMin</v>
      </c>
      <c r="N29" s="57" t="str">
        <f>IF(ISBLANK(Tabela1[[#This Row],[Max]]),"NMax",IF(Tabela1[[#This Row],[Valor]]&gt;Tabela1[[#This Row],[Max]],Tabela1[[#This Row],[Valor]]-Tabela1[[#This Row],[Max]],"Normal"))</f>
        <v>Normal</v>
      </c>
    </row>
    <row r="30" spans="2:14" x14ac:dyDescent="0.35">
      <c r="B30" s="33" t="s">
        <v>431</v>
      </c>
      <c r="C30" s="33" t="s">
        <v>44</v>
      </c>
      <c r="D30" s="2" t="s">
        <v>27</v>
      </c>
      <c r="E30" s="2" t="s">
        <v>28</v>
      </c>
      <c r="F30" s="3" t="s">
        <v>11</v>
      </c>
      <c r="G30" s="55">
        <v>44966</v>
      </c>
      <c r="H30" s="43">
        <v>36</v>
      </c>
      <c r="I30" s="43" t="str" cm="1">
        <f t="array" ref="I3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30" s="43"/>
      <c r="K30" s="43"/>
      <c r="L30" s="44">
        <v>34</v>
      </c>
      <c r="M30" s="57" t="str">
        <f>IF(ISBLANK(Tabela1[[#This Row],[Min]]),"NMin",IF(Tabela1[[#This Row],[Valor]]&lt;Tabela1[[#This Row],[Min]],Tabela1[[#This Row],[Valor]]-Tabela1[[#This Row],[Min]],"Normal"))</f>
        <v>NMin</v>
      </c>
      <c r="N30" s="57">
        <f>IF(ISBLANK(Tabela1[[#This Row],[Max]]),"NMax",IF(Tabela1[[#This Row],[Valor]]&gt;Tabela1[[#This Row],[Max]],Tabela1[[#This Row],[Valor]]-Tabela1[[#This Row],[Max]],"Normal"))</f>
        <v>2</v>
      </c>
    </row>
    <row r="31" spans="2:14" x14ac:dyDescent="0.35">
      <c r="B31" s="33" t="s">
        <v>431</v>
      </c>
      <c r="C31" s="33" t="s">
        <v>44</v>
      </c>
      <c r="D31" s="2" t="s">
        <v>367</v>
      </c>
      <c r="E31" s="2" t="s">
        <v>187</v>
      </c>
      <c r="F31" s="3" t="s">
        <v>11</v>
      </c>
      <c r="G31" s="55">
        <v>45591</v>
      </c>
      <c r="H31" s="47">
        <v>0.4</v>
      </c>
      <c r="I31" s="47" t="str" cm="1">
        <f t="array" ref="I3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31" s="47"/>
      <c r="K31" s="47"/>
      <c r="L31" s="48">
        <v>0.3</v>
      </c>
      <c r="M31" s="57" t="str">
        <f>IF(ISBLANK(Tabela1[[#This Row],[Min]]),"NMin",IF(Tabela1[[#This Row],[Valor]]&lt;Tabela1[[#This Row],[Min]],Tabela1[[#This Row],[Valor]]-Tabela1[[#This Row],[Min]],"Normal"))</f>
        <v>NMin</v>
      </c>
      <c r="N31" s="57">
        <f>IF(ISBLANK(Tabela1[[#This Row],[Max]]),"NMax",IF(Tabela1[[#This Row],[Valor]]&gt;Tabela1[[#This Row],[Max]],Tabela1[[#This Row],[Valor]]-Tabela1[[#This Row],[Max]],"Normal"))</f>
        <v>0.10000000000000003</v>
      </c>
    </row>
    <row r="32" spans="2:14" x14ac:dyDescent="0.35">
      <c r="B32" s="33" t="s">
        <v>431</v>
      </c>
      <c r="C32" s="33" t="s">
        <v>90</v>
      </c>
      <c r="D32" s="2" t="s">
        <v>46</v>
      </c>
      <c r="E32" s="2" t="s">
        <v>68</v>
      </c>
      <c r="F32" s="3" t="s">
        <v>11</v>
      </c>
      <c r="G32" s="55">
        <v>44625</v>
      </c>
      <c r="H32" s="2" t="s">
        <v>57</v>
      </c>
      <c r="I32" s="43" t="str" cm="1">
        <f t="array" ref="I3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32" s="2"/>
      <c r="K32" s="2"/>
      <c r="L32" s="34"/>
      <c r="M32" s="57" t="str">
        <f>IF(ISBLANK(Tabela1[[#This Row],[Min]]),"NMin",IF(Tabela1[[#This Row],[Valor]]&lt;Tabela1[[#This Row],[Min]],Tabela1[[#This Row],[Valor]]-Tabela1[[#This Row],[Min]],"Normal"))</f>
        <v>NMin</v>
      </c>
      <c r="N32" s="57" t="str">
        <f>IF(ISBLANK(Tabela1[[#This Row],[Max]]),"NMax",IF(Tabela1[[#This Row],[Valor]]&gt;Tabela1[[#This Row],[Max]],Tabela1[[#This Row],[Valor]]-Tabela1[[#This Row],[Max]],"Normal"))</f>
        <v>NMax</v>
      </c>
    </row>
    <row r="33" spans="2:14" x14ac:dyDescent="0.35">
      <c r="B33" s="33" t="s">
        <v>431</v>
      </c>
      <c r="C33" s="33" t="s">
        <v>97</v>
      </c>
      <c r="D33" s="2" t="s">
        <v>100</v>
      </c>
      <c r="E33" s="2"/>
      <c r="F33" s="3" t="s">
        <v>11</v>
      </c>
      <c r="G33" s="55">
        <v>43796</v>
      </c>
      <c r="H33" s="2">
        <v>7.0000000000000007E-2</v>
      </c>
      <c r="I33" s="43" t="str" cm="1">
        <f t="array" ref="I3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33" s="2"/>
      <c r="K33" s="43">
        <v>0.01</v>
      </c>
      <c r="L33" s="44">
        <v>0.08</v>
      </c>
      <c r="M33" s="57" t="str">
        <f>IF(ISBLANK(Tabela1[[#This Row],[Min]]),"NMin",IF(Tabela1[[#This Row],[Valor]]&lt;Tabela1[[#This Row],[Min]],Tabela1[[#This Row],[Valor]]-Tabela1[[#This Row],[Min]],"Normal"))</f>
        <v>Normal</v>
      </c>
      <c r="N33" s="57" t="str">
        <f>IF(ISBLANK(Tabela1[[#This Row],[Max]]),"NMax",IF(Tabela1[[#This Row],[Valor]]&gt;Tabela1[[#This Row],[Max]],Tabela1[[#This Row],[Valor]]-Tabela1[[#This Row],[Max]],"Normal"))</f>
        <v>Normal</v>
      </c>
    </row>
    <row r="34" spans="2:14" x14ac:dyDescent="0.35">
      <c r="B34" s="33" t="s">
        <v>431</v>
      </c>
      <c r="C34" s="33" t="s">
        <v>97</v>
      </c>
      <c r="D34" s="2" t="s">
        <v>127</v>
      </c>
      <c r="E34" s="2"/>
      <c r="F34" s="3" t="s">
        <v>146</v>
      </c>
      <c r="G34" s="55">
        <v>39462</v>
      </c>
      <c r="H34" s="49">
        <v>6.0000000000000001E-3</v>
      </c>
      <c r="I34" s="49" t="str" cm="1">
        <f t="array" ref="I3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34" s="61" t="s">
        <v>363</v>
      </c>
      <c r="K34" s="49">
        <v>0.01</v>
      </c>
      <c r="L34" s="46">
        <v>0.06</v>
      </c>
      <c r="M34" s="58">
        <f>IF(ISBLANK(Tabela1[[#This Row],[Min]]),"NMin",IF(Tabela1[[#This Row],[Valor]]&lt;Tabela1[[#This Row],[Min]],Tabela1[[#This Row],[Valor]]-Tabela1[[#This Row],[Min]],"Normal"))</f>
        <v>-4.0000000000000001E-3</v>
      </c>
      <c r="N34" s="57" t="str">
        <f>IF(ISBLANK(Tabela1[[#This Row],[Max]]),"NMax",IF(Tabela1[[#This Row],[Valor]]&gt;Tabela1[[#This Row],[Max]],Tabela1[[#This Row],[Valor]]-Tabela1[[#This Row],[Max]],"Normal"))</f>
        <v>Normal</v>
      </c>
    </row>
    <row r="35" spans="2:14" x14ac:dyDescent="0.35">
      <c r="B35" s="33" t="s">
        <v>431</v>
      </c>
      <c r="C35" s="33" t="s">
        <v>97</v>
      </c>
      <c r="D35" s="2" t="s">
        <v>128</v>
      </c>
      <c r="E35" s="2"/>
      <c r="F35" s="3" t="s">
        <v>146</v>
      </c>
      <c r="G35" s="55">
        <v>39462</v>
      </c>
      <c r="H35" s="4">
        <v>2E-3</v>
      </c>
      <c r="I35" s="4" t="str" cm="1">
        <f t="array" ref="I3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35" s="61" t="s">
        <v>363</v>
      </c>
      <c r="K35" s="46">
        <v>0</v>
      </c>
      <c r="L35" s="46">
        <v>0.02</v>
      </c>
      <c r="M35" s="58" t="str">
        <f>IF(ISBLANK(Tabela1[[#This Row],[Min]]),"NMin",IF(Tabela1[[#This Row],[Valor]]&lt;Tabela1[[#This Row],[Min]],Tabela1[[#This Row],[Valor]]-Tabela1[[#This Row],[Min]],"Normal"))</f>
        <v>Normal</v>
      </c>
      <c r="N35" s="57" t="str">
        <f>IF(ISBLANK(Tabela1[[#This Row],[Max]]),"NMax",IF(Tabela1[[#This Row],[Valor]]&gt;Tabela1[[#This Row],[Max]],Tabela1[[#This Row],[Valor]]-Tabela1[[#This Row],[Max]],"Normal"))</f>
        <v>Normal</v>
      </c>
    </row>
    <row r="36" spans="2:14" x14ac:dyDescent="0.35">
      <c r="B36" s="33" t="s">
        <v>431</v>
      </c>
      <c r="C36" s="33" t="s">
        <v>97</v>
      </c>
      <c r="D36" s="2" t="s">
        <v>128</v>
      </c>
      <c r="E36" s="2" t="s">
        <v>96</v>
      </c>
      <c r="F36" s="3" t="s">
        <v>71</v>
      </c>
      <c r="G36" s="55">
        <v>44281</v>
      </c>
      <c r="H36" s="4">
        <v>0.01</v>
      </c>
      <c r="I36" s="4" t="str" cm="1">
        <f t="array" ref="I3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36" s="61" t="s">
        <v>363</v>
      </c>
      <c r="K36" s="46">
        <v>0</v>
      </c>
      <c r="L36" s="46">
        <v>0.02</v>
      </c>
      <c r="M36" s="58" t="str">
        <f>IF(ISBLANK(Tabela1[[#This Row],[Min]]),"NMin",IF(Tabela1[[#This Row],[Valor]]&lt;Tabela1[[#This Row],[Min]],Tabela1[[#This Row],[Valor]]-Tabela1[[#This Row],[Min]],"Normal"))</f>
        <v>Normal</v>
      </c>
      <c r="N36" s="57" t="str">
        <f>IF(ISBLANK(Tabela1[[#This Row],[Max]]),"NMax",IF(Tabela1[[#This Row],[Valor]]&gt;Tabela1[[#This Row],[Max]],Tabela1[[#This Row],[Valor]]-Tabela1[[#This Row],[Max]],"Normal"))</f>
        <v>Normal</v>
      </c>
    </row>
    <row r="37" spans="2:14" x14ac:dyDescent="0.35">
      <c r="B37" s="33" t="s">
        <v>431</v>
      </c>
      <c r="C37" s="33" t="s">
        <v>97</v>
      </c>
      <c r="D37" s="2" t="s">
        <v>128</v>
      </c>
      <c r="E37" s="2"/>
      <c r="F37" s="3" t="s">
        <v>11</v>
      </c>
      <c r="G37" s="55">
        <v>43796</v>
      </c>
      <c r="H37" s="4">
        <v>1.7000000000000001E-2</v>
      </c>
      <c r="I37" s="4" t="str" cm="1">
        <f t="array" ref="I3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37" s="61" t="s">
        <v>363</v>
      </c>
      <c r="K37" s="46">
        <v>0</v>
      </c>
      <c r="L37" s="46">
        <v>0.02</v>
      </c>
      <c r="M37" s="58" t="str">
        <f>IF(ISBLANK(Tabela1[[#This Row],[Min]]),"NMin",IF(Tabela1[[#This Row],[Valor]]&lt;Tabela1[[#This Row],[Min]],Tabela1[[#This Row],[Valor]]-Tabela1[[#This Row],[Min]],"Normal"))</f>
        <v>Normal</v>
      </c>
      <c r="N37" s="57" t="str">
        <f>IF(ISBLANK(Tabela1[[#This Row],[Max]]),"NMax",IF(Tabela1[[#This Row],[Valor]]&gt;Tabela1[[#This Row],[Max]],Tabela1[[#This Row],[Valor]]-Tabela1[[#This Row],[Max]],"Normal"))</f>
        <v>Normal</v>
      </c>
    </row>
    <row r="38" spans="2:14" x14ac:dyDescent="0.35">
      <c r="B38" s="33" t="s">
        <v>431</v>
      </c>
      <c r="C38" s="33" t="s">
        <v>97</v>
      </c>
      <c r="D38" s="2" t="s">
        <v>99</v>
      </c>
      <c r="E38" s="2"/>
      <c r="F38" s="3" t="s">
        <v>11</v>
      </c>
      <c r="G38" s="55">
        <v>43796</v>
      </c>
      <c r="H38" s="43">
        <v>0</v>
      </c>
      <c r="I38" s="43" t="str" cm="1">
        <f t="array" ref="I3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38" s="43"/>
      <c r="K38" s="44">
        <v>0.03</v>
      </c>
      <c r="L38" s="44">
        <v>0.48</v>
      </c>
      <c r="M38" s="57">
        <f>IF(ISBLANK(Tabela1[[#This Row],[Min]]),"NMin",IF(Tabela1[[#This Row],[Valor]]&lt;Tabela1[[#This Row],[Min]],Tabela1[[#This Row],[Valor]]-Tabela1[[#This Row],[Min]],"Normal"))</f>
        <v>-0.03</v>
      </c>
      <c r="N38" s="57" t="str">
        <f>IF(ISBLANK(Tabela1[[#This Row],[Max]]),"NMax",IF(Tabela1[[#This Row],[Valor]]&gt;Tabela1[[#This Row],[Max]],Tabela1[[#This Row],[Valor]]-Tabela1[[#This Row],[Max]],"Normal"))</f>
        <v>Normal</v>
      </c>
    </row>
    <row r="39" spans="2:14" x14ac:dyDescent="0.35">
      <c r="B39" s="33" t="s">
        <v>431</v>
      </c>
      <c r="C39" s="33" t="s">
        <v>90</v>
      </c>
      <c r="D39" s="2" t="s">
        <v>89</v>
      </c>
      <c r="E39" s="2" t="s">
        <v>68</v>
      </c>
      <c r="F39" s="3" t="s">
        <v>11</v>
      </c>
      <c r="G39" s="55">
        <v>44625</v>
      </c>
      <c r="H39" s="2" t="s">
        <v>59</v>
      </c>
      <c r="I39" s="43" t="str" cm="1">
        <f t="array" ref="I3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39" s="2"/>
      <c r="K39" s="2"/>
      <c r="L39" s="34"/>
      <c r="M39" s="57" t="str">
        <f>IF(ISBLANK(Tabela1[[#This Row],[Min]]),"NMin",IF(Tabela1[[#This Row],[Valor]]&lt;Tabela1[[#This Row],[Min]],Tabela1[[#This Row],[Valor]]-Tabela1[[#This Row],[Min]],"Normal"))</f>
        <v>NMin</v>
      </c>
      <c r="N39" s="57" t="str">
        <f>IF(ISBLANK(Tabela1[[#This Row],[Max]]),"NMax",IF(Tabela1[[#This Row],[Valor]]&gt;Tabela1[[#This Row],[Max]],Tabela1[[#This Row],[Valor]]-Tabela1[[#This Row],[Max]],"Normal"))</f>
        <v>NMax</v>
      </c>
    </row>
    <row r="40" spans="2:14" x14ac:dyDescent="0.35">
      <c r="B40" s="33" t="s">
        <v>431</v>
      </c>
      <c r="C40" s="33" t="s">
        <v>90</v>
      </c>
      <c r="D40" s="2" t="s">
        <v>89</v>
      </c>
      <c r="E40" s="2" t="s">
        <v>123</v>
      </c>
      <c r="F40" s="3" t="s">
        <v>71</v>
      </c>
      <c r="G40" s="55">
        <v>44281</v>
      </c>
      <c r="H40" s="2" t="s">
        <v>33</v>
      </c>
      <c r="I40" s="43" t="str" cm="1">
        <f t="array" ref="I4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Positivo/Negativo</v>
      </c>
      <c r="J40" s="2"/>
      <c r="K40" s="2"/>
      <c r="L40" s="34"/>
      <c r="M40" s="57" t="str">
        <f>IF(ISBLANK(Tabela1[[#This Row],[Min]]),"NMin",IF(Tabela1[[#This Row],[Valor]]&lt;Tabela1[[#This Row],[Min]],Tabela1[[#This Row],[Valor]]-Tabela1[[#This Row],[Min]],"Normal"))</f>
        <v>NMin</v>
      </c>
      <c r="N40" s="57" t="str">
        <f>IF(ISBLANK(Tabela1[[#This Row],[Max]]),"NMax",IF(Tabela1[[#This Row],[Valor]]&gt;Tabela1[[#This Row],[Max]],Tabela1[[#This Row],[Valor]]-Tabela1[[#This Row],[Max]],"Normal"))</f>
        <v>NMax</v>
      </c>
    </row>
    <row r="41" spans="2:14" x14ac:dyDescent="0.35">
      <c r="B41" s="33" t="s">
        <v>431</v>
      </c>
      <c r="C41" s="33" t="s">
        <v>44</v>
      </c>
      <c r="D41" s="2" t="s">
        <v>30</v>
      </c>
      <c r="E41" s="2" t="s">
        <v>16</v>
      </c>
      <c r="F41" s="3" t="s">
        <v>11</v>
      </c>
      <c r="G41" s="55">
        <v>45591</v>
      </c>
      <c r="H41" s="43">
        <v>33</v>
      </c>
      <c r="I41" s="43" t="str" cm="1">
        <f t="array" ref="I4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41" s="43"/>
      <c r="K41" s="43"/>
      <c r="L41" s="44">
        <v>73</v>
      </c>
      <c r="M41" s="57" t="str">
        <f>IF(ISBLANK(Tabela1[[#This Row],[Min]]),"NMin",IF(Tabela1[[#This Row],[Valor]]&lt;Tabela1[[#This Row],[Min]],Tabela1[[#This Row],[Valor]]-Tabela1[[#This Row],[Min]],"Normal"))</f>
        <v>NMin</v>
      </c>
      <c r="N41" s="57" t="str">
        <f>IF(ISBLANK(Tabela1[[#This Row],[Max]]),"NMax",IF(Tabela1[[#This Row],[Valor]]&gt;Tabela1[[#This Row],[Max]],Tabela1[[#This Row],[Valor]]-Tabela1[[#This Row],[Max]],"Normal"))</f>
        <v>Normal</v>
      </c>
    </row>
    <row r="42" spans="2:14" x14ac:dyDescent="0.35">
      <c r="B42" s="33" t="s">
        <v>431</v>
      </c>
      <c r="C42" s="33" t="s">
        <v>90</v>
      </c>
      <c r="D42" s="2" t="s">
        <v>151</v>
      </c>
      <c r="E42" s="2"/>
      <c r="F42" s="3" t="s">
        <v>146</v>
      </c>
      <c r="G42" s="55">
        <v>39462</v>
      </c>
      <c r="H42" s="47">
        <v>0.1</v>
      </c>
      <c r="I42" s="47" t="str" cm="1">
        <f t="array" ref="I4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42" s="47"/>
      <c r="K42" s="47">
        <v>0.1</v>
      </c>
      <c r="L42" s="48">
        <v>0.4</v>
      </c>
      <c r="M42" s="57" t="str">
        <f>IF(ISBLANK(Tabela1[[#This Row],[Min]]),"NMin",IF(Tabela1[[#This Row],[Valor]]&lt;Tabela1[[#This Row],[Min]],Tabela1[[#This Row],[Valor]]-Tabela1[[#This Row],[Min]],"Normal"))</f>
        <v>Normal</v>
      </c>
      <c r="N42" s="57" t="str">
        <f>IF(ISBLANK(Tabela1[[#This Row],[Max]]),"NMax",IF(Tabela1[[#This Row],[Valor]]&gt;Tabela1[[#This Row],[Max]],Tabela1[[#This Row],[Valor]]-Tabela1[[#This Row],[Max]],"Normal"))</f>
        <v>Normal</v>
      </c>
    </row>
    <row r="43" spans="2:14" x14ac:dyDescent="0.35">
      <c r="B43" s="33" t="s">
        <v>431</v>
      </c>
      <c r="C43" s="33" t="s">
        <v>90</v>
      </c>
      <c r="D43" s="2" t="s">
        <v>152</v>
      </c>
      <c r="E43" s="2"/>
      <c r="F43" s="3" t="s">
        <v>146</v>
      </c>
      <c r="G43" s="55">
        <v>39462</v>
      </c>
      <c r="H43" s="47">
        <v>0.5</v>
      </c>
      <c r="I43" s="47" t="str" cm="1">
        <f t="array" ref="I4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43" s="47"/>
      <c r="K43" s="47">
        <v>0.4</v>
      </c>
      <c r="L43" s="48">
        <v>1.1000000000000001</v>
      </c>
      <c r="M43" s="57" t="str">
        <f>IF(ISBLANK(Tabela1[[#This Row],[Min]]),"NMin",IF(Tabela1[[#This Row],[Valor]]&lt;Tabela1[[#This Row],[Min]],Tabela1[[#This Row],[Valor]]-Tabela1[[#This Row],[Min]],"Normal"))</f>
        <v>Normal</v>
      </c>
      <c r="N43" s="57" t="str">
        <f>IF(ISBLANK(Tabela1[[#This Row],[Max]]),"NMax",IF(Tabela1[[#This Row],[Valor]]&gt;Tabela1[[#This Row],[Max]],Tabela1[[#This Row],[Valor]]-Tabela1[[#This Row],[Max]],"Normal"))</f>
        <v>Normal</v>
      </c>
    </row>
    <row r="44" spans="2:14" x14ac:dyDescent="0.35">
      <c r="B44" s="33" t="s">
        <v>431</v>
      </c>
      <c r="C44" s="33" t="s">
        <v>97</v>
      </c>
      <c r="D44" s="2" t="s">
        <v>130</v>
      </c>
      <c r="E44" s="2"/>
      <c r="F44" s="3" t="s">
        <v>146</v>
      </c>
      <c r="G44" s="55">
        <v>43115</v>
      </c>
      <c r="H44" s="49">
        <v>6.4000000000000001E-2</v>
      </c>
      <c r="I44" s="49" t="str" cm="1">
        <f t="array" ref="I4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44" s="61" t="s">
        <v>363</v>
      </c>
      <c r="K44" s="49">
        <v>0.02</v>
      </c>
      <c r="L44" s="46">
        <v>0.1</v>
      </c>
      <c r="M44" s="58" t="str">
        <f>IF(ISBLANK(Tabela1[[#This Row],[Min]]),"NMin",IF(Tabela1[[#This Row],[Valor]]&lt;Tabela1[[#This Row],[Min]],Tabela1[[#This Row],[Valor]]-Tabela1[[#This Row],[Min]],"Normal"))</f>
        <v>Normal</v>
      </c>
      <c r="N44" s="57" t="str">
        <f>IF(ISBLANK(Tabela1[[#This Row],[Max]]),"NMax",IF(Tabela1[[#This Row],[Valor]]&gt;Tabela1[[#This Row],[Max]],Tabela1[[#This Row],[Valor]]-Tabela1[[#This Row],[Max]],"Normal"))</f>
        <v>Normal</v>
      </c>
    </row>
    <row r="45" spans="2:14" x14ac:dyDescent="0.35">
      <c r="B45" s="33" t="s">
        <v>431</v>
      </c>
      <c r="C45" s="33" t="s">
        <v>95</v>
      </c>
      <c r="D45" s="2" t="s">
        <v>125</v>
      </c>
      <c r="E45" s="2"/>
      <c r="F45" s="3" t="s">
        <v>146</v>
      </c>
      <c r="G45" s="55">
        <v>39462</v>
      </c>
      <c r="H45" s="4">
        <v>0.33600000000000002</v>
      </c>
      <c r="I45" s="4" t="str" cm="1">
        <f t="array" ref="I4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45" s="61" t="s">
        <v>363</v>
      </c>
      <c r="K45" s="49">
        <v>0.317</v>
      </c>
      <c r="L45" s="46">
        <v>0.35699999999999998</v>
      </c>
      <c r="M45" s="58" t="str">
        <f>IF(ISBLANK(Tabela1[[#This Row],[Min]]),"NMin",IF(Tabela1[[#This Row],[Valor]]&lt;Tabela1[[#This Row],[Min]],Tabela1[[#This Row],[Valor]]-Tabela1[[#This Row],[Min]],"Normal"))</f>
        <v>Normal</v>
      </c>
      <c r="N45" s="57" t="str">
        <f>IF(ISBLANK(Tabela1[[#This Row],[Max]]),"NMax",IF(Tabela1[[#This Row],[Valor]]&gt;Tabela1[[#This Row],[Max]],Tabela1[[#This Row],[Valor]]-Tabela1[[#This Row],[Max]],"Normal"))</f>
        <v>Normal</v>
      </c>
    </row>
    <row r="46" spans="2:14" x14ac:dyDescent="0.35">
      <c r="B46" s="33" t="s">
        <v>431</v>
      </c>
      <c r="C46" s="33" t="s">
        <v>95</v>
      </c>
      <c r="D46" s="2" t="s">
        <v>125</v>
      </c>
      <c r="E46" s="2"/>
      <c r="F46" s="3" t="s">
        <v>11</v>
      </c>
      <c r="G46" s="55">
        <v>43796</v>
      </c>
      <c r="H46" s="4">
        <v>0.33700000000000002</v>
      </c>
      <c r="I46" s="4" t="str" cm="1">
        <f t="array" ref="I4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46" s="61" t="s">
        <v>363</v>
      </c>
      <c r="K46" s="49">
        <v>0.32</v>
      </c>
      <c r="L46" s="46">
        <v>0.36499999999999999</v>
      </c>
      <c r="M46" s="58" t="str">
        <f>IF(ISBLANK(Tabela1[[#This Row],[Min]]),"NMin",IF(Tabela1[[#This Row],[Valor]]&lt;Tabela1[[#This Row],[Min]],Tabela1[[#This Row],[Valor]]-Tabela1[[#This Row],[Min]],"Normal"))</f>
        <v>Normal</v>
      </c>
      <c r="N46" s="57" t="str">
        <f>IF(ISBLANK(Tabela1[[#This Row],[Max]]),"NMax",IF(Tabela1[[#This Row],[Valor]]&gt;Tabela1[[#This Row],[Max]],Tabela1[[#This Row],[Valor]]-Tabela1[[#This Row],[Max]],"Normal"))</f>
        <v>Normal</v>
      </c>
    </row>
    <row r="47" spans="2:14" x14ac:dyDescent="0.35">
      <c r="B47" s="33" t="s">
        <v>431</v>
      </c>
      <c r="C47" s="33" t="s">
        <v>95</v>
      </c>
      <c r="D47" s="2" t="s">
        <v>125</v>
      </c>
      <c r="E47" s="2" t="s">
        <v>96</v>
      </c>
      <c r="F47" s="3" t="s">
        <v>71</v>
      </c>
      <c r="G47" s="55">
        <v>44281</v>
      </c>
      <c r="H47" s="4">
        <v>0.34200000000000003</v>
      </c>
      <c r="I47" s="4" t="str" cm="1">
        <f t="array" ref="I4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47" s="61" t="s">
        <v>363</v>
      </c>
      <c r="K47" s="49">
        <v>0.32</v>
      </c>
      <c r="L47" s="46">
        <v>0.36499999999999999</v>
      </c>
      <c r="M47" s="58" t="str">
        <f>IF(ISBLANK(Tabela1[[#This Row],[Min]]),"NMin",IF(Tabela1[[#This Row],[Valor]]&lt;Tabela1[[#This Row],[Min]],Tabela1[[#This Row],[Valor]]-Tabela1[[#This Row],[Min]],"Normal"))</f>
        <v>Normal</v>
      </c>
      <c r="N47" s="57" t="str">
        <f>IF(ISBLANK(Tabela1[[#This Row],[Max]]),"NMax",IF(Tabela1[[#This Row],[Valor]]&gt;Tabela1[[#This Row],[Max]],Tabela1[[#This Row],[Valor]]-Tabela1[[#This Row],[Max]],"Normal"))</f>
        <v>Normal</v>
      </c>
    </row>
    <row r="48" spans="2:14" x14ac:dyDescent="0.35">
      <c r="B48" s="33" t="s">
        <v>431</v>
      </c>
      <c r="C48" s="33" t="s">
        <v>103</v>
      </c>
      <c r="D48" s="2" t="s">
        <v>132</v>
      </c>
      <c r="E48" s="2"/>
      <c r="F48" s="3" t="s">
        <v>11</v>
      </c>
      <c r="G48" s="55">
        <v>45591</v>
      </c>
      <c r="H48" s="43">
        <v>12.8</v>
      </c>
      <c r="I48" s="43" t="str" cm="1">
        <f t="array" ref="I4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48" s="43"/>
      <c r="K48" s="43"/>
      <c r="L48" s="44"/>
      <c r="M48" s="57" t="str">
        <f>IF(ISBLANK(Tabela1[[#This Row],[Min]]),"NMin",IF(Tabela1[[#This Row],[Valor]]&lt;Tabela1[[#This Row],[Min]],Tabela1[[#This Row],[Valor]]-Tabela1[[#This Row],[Min]],"Normal"))</f>
        <v>NMin</v>
      </c>
      <c r="N48" s="57" t="str">
        <f>IF(ISBLANK(Tabela1[[#This Row],[Max]]),"NMax",IF(Tabela1[[#This Row],[Valor]]&gt;Tabela1[[#This Row],[Max]],Tabela1[[#This Row],[Valor]]-Tabela1[[#This Row],[Max]],"Normal"))</f>
        <v>NMax</v>
      </c>
    </row>
    <row r="49" spans="2:14" x14ac:dyDescent="0.35">
      <c r="B49" s="33" t="s">
        <v>431</v>
      </c>
      <c r="C49" s="33" t="s">
        <v>44</v>
      </c>
      <c r="D49" s="2" t="s">
        <v>135</v>
      </c>
      <c r="E49" s="2"/>
      <c r="F49" s="3" t="s">
        <v>146</v>
      </c>
      <c r="G49" s="55">
        <v>39462</v>
      </c>
      <c r="H49" s="43">
        <v>9.4</v>
      </c>
      <c r="I49" s="43" t="str" cm="1">
        <f t="array" ref="I4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49" s="43"/>
      <c r="K49" s="43">
        <v>8.4</v>
      </c>
      <c r="L49" s="44">
        <v>10.199999999999999</v>
      </c>
      <c r="M49" s="57" t="str">
        <f>IF(ISBLANK(Tabela1[[#This Row],[Min]]),"NMin",IF(Tabela1[[#This Row],[Valor]]&lt;Tabela1[[#This Row],[Min]],Tabela1[[#This Row],[Valor]]-Tabela1[[#This Row],[Min]],"Normal"))</f>
        <v>Normal</v>
      </c>
      <c r="N49" s="57" t="str">
        <f>IF(ISBLANK(Tabela1[[#This Row],[Max]]),"NMax",IF(Tabela1[[#This Row],[Valor]]&gt;Tabela1[[#This Row],[Max]],Tabela1[[#This Row],[Valor]]-Tabela1[[#This Row],[Max]],"Normal"))</f>
        <v>Normal</v>
      </c>
    </row>
    <row r="50" spans="2:14" x14ac:dyDescent="0.35">
      <c r="B50" s="33" t="s">
        <v>431</v>
      </c>
      <c r="C50" s="33" t="s">
        <v>44</v>
      </c>
      <c r="D50" s="2" t="s">
        <v>135</v>
      </c>
      <c r="E50" s="2" t="s">
        <v>136</v>
      </c>
      <c r="F50" s="3" t="s">
        <v>11</v>
      </c>
      <c r="G50" s="55">
        <v>43796</v>
      </c>
      <c r="H50" s="43">
        <v>9.67</v>
      </c>
      <c r="I50" s="43" t="str" cm="1">
        <f t="array" ref="I5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50" s="43"/>
      <c r="K50" s="43">
        <v>8.4</v>
      </c>
      <c r="L50" s="44">
        <v>10.199999999999999</v>
      </c>
      <c r="M50" s="57" t="str">
        <f>IF(ISBLANK(Tabela1[[#This Row],[Min]]),"NMin",IF(Tabela1[[#This Row],[Valor]]&lt;Tabela1[[#This Row],[Min]],Tabela1[[#This Row],[Valor]]-Tabela1[[#This Row],[Min]],"Normal"))</f>
        <v>Normal</v>
      </c>
      <c r="N50" s="57" t="str">
        <f>IF(ISBLANK(Tabela1[[#This Row],[Max]]),"NMax",IF(Tabela1[[#This Row],[Valor]]&gt;Tabela1[[#This Row],[Max]],Tabela1[[#This Row],[Valor]]-Tabela1[[#This Row],[Max]],"Normal"))</f>
        <v>Normal</v>
      </c>
    </row>
    <row r="51" spans="2:14" x14ac:dyDescent="0.35">
      <c r="B51" s="33" t="s">
        <v>431</v>
      </c>
      <c r="C51" s="33" t="s">
        <v>90</v>
      </c>
      <c r="D51" s="2" t="s">
        <v>64</v>
      </c>
      <c r="E51" s="2" t="s">
        <v>69</v>
      </c>
      <c r="F51" s="3" t="s">
        <v>11</v>
      </c>
      <c r="G51" s="55">
        <v>44625</v>
      </c>
      <c r="H51" s="43">
        <v>15</v>
      </c>
      <c r="I51" s="43" t="str" cm="1">
        <f t="array" ref="I5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51" s="43"/>
      <c r="K51" s="43"/>
      <c r="L51" s="44"/>
      <c r="M51" s="57" t="str">
        <f>IF(ISBLANK(Tabela1[[#This Row],[Min]]),"NMin",IF(Tabela1[[#This Row],[Valor]]&lt;Tabela1[[#This Row],[Min]],Tabela1[[#This Row],[Valor]]-Tabela1[[#This Row],[Min]],"Normal"))</f>
        <v>NMin</v>
      </c>
      <c r="N51" s="57" t="str">
        <f>IF(ISBLANK(Tabela1[[#This Row],[Max]]),"NMax",IF(Tabela1[[#This Row],[Valor]]&gt;Tabela1[[#This Row],[Max]],Tabela1[[#This Row],[Valor]]-Tabela1[[#This Row],[Max]],"Normal"))</f>
        <v>NMax</v>
      </c>
    </row>
    <row r="52" spans="2:14" x14ac:dyDescent="0.35">
      <c r="B52" s="33" t="s">
        <v>431</v>
      </c>
      <c r="C52" s="33" t="s">
        <v>90</v>
      </c>
      <c r="D52" s="2" t="s">
        <v>67</v>
      </c>
      <c r="E52" s="2" t="s">
        <v>69</v>
      </c>
      <c r="F52" s="3" t="s">
        <v>11</v>
      </c>
      <c r="G52" s="55">
        <v>44625</v>
      </c>
      <c r="H52" s="43">
        <v>3</v>
      </c>
      <c r="I52" s="43" t="str" cm="1">
        <f t="array" ref="I5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52" s="43"/>
      <c r="K52" s="43"/>
      <c r="L52" s="44"/>
      <c r="M52" s="57" t="str">
        <f>IF(ISBLANK(Tabela1[[#This Row],[Min]]),"NMin",IF(Tabela1[[#This Row],[Valor]]&lt;Tabela1[[#This Row],[Min]],Tabela1[[#This Row],[Valor]]-Tabela1[[#This Row],[Min]],"Normal"))</f>
        <v>NMin</v>
      </c>
      <c r="N52" s="57" t="str">
        <f>IF(ISBLANK(Tabela1[[#This Row],[Max]]),"NMax",IF(Tabela1[[#This Row],[Valor]]&gt;Tabela1[[#This Row],[Max]],Tabela1[[#This Row],[Valor]]-Tabela1[[#This Row],[Max]],"Normal"))</f>
        <v>NMax</v>
      </c>
    </row>
    <row r="53" spans="2:14" x14ac:dyDescent="0.35">
      <c r="B53" s="33" t="s">
        <v>431</v>
      </c>
      <c r="C53" s="33" t="s">
        <v>44</v>
      </c>
      <c r="D53" s="2" t="s">
        <v>139</v>
      </c>
      <c r="E53" s="2" t="s">
        <v>140</v>
      </c>
      <c r="F53" s="3" t="s">
        <v>11</v>
      </c>
      <c r="G53" s="55">
        <v>43796</v>
      </c>
      <c r="H53" s="43">
        <v>63</v>
      </c>
      <c r="I53" s="43" t="str" cm="1">
        <f t="array" ref="I5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53" s="43"/>
      <c r="K53" s="43">
        <v>32</v>
      </c>
      <c r="L53" s="44">
        <v>294</v>
      </c>
      <c r="M53" s="57" t="str">
        <f>IF(ISBLANK(Tabela1[[#This Row],[Min]]),"NMin",IF(Tabela1[[#This Row],[Valor]]&lt;Tabela1[[#This Row],[Min]],Tabela1[[#This Row],[Valor]]-Tabela1[[#This Row],[Min]],"Normal"))</f>
        <v>Normal</v>
      </c>
      <c r="N53" s="57" t="str">
        <f>IF(ISBLANK(Tabela1[[#This Row],[Max]]),"NMax",IF(Tabela1[[#This Row],[Valor]]&gt;Tabela1[[#This Row],[Max]],Tabela1[[#This Row],[Valor]]-Tabela1[[#This Row],[Max]],"Normal"))</f>
        <v>Normal</v>
      </c>
    </row>
    <row r="54" spans="2:14" x14ac:dyDescent="0.35">
      <c r="B54" s="33" t="s">
        <v>431</v>
      </c>
      <c r="C54" s="33" t="s">
        <v>92</v>
      </c>
      <c r="D54" s="2" t="s">
        <v>76</v>
      </c>
      <c r="E54" s="2" t="s">
        <v>80</v>
      </c>
      <c r="F54" s="3" t="s">
        <v>71</v>
      </c>
      <c r="G54" s="55">
        <v>44285</v>
      </c>
      <c r="H54" s="43">
        <v>165.14</v>
      </c>
      <c r="I54" s="43" t="str" cm="1">
        <f t="array" ref="I5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54" s="43"/>
      <c r="K54" s="43"/>
      <c r="L54" s="44"/>
      <c r="M54" s="57" t="str">
        <f>IF(ISBLANK(Tabela1[[#This Row],[Min]]),"NMin",IF(Tabela1[[#This Row],[Valor]]&lt;Tabela1[[#This Row],[Min]],Tabela1[[#This Row],[Valor]]-Tabela1[[#This Row],[Min]],"Normal"))</f>
        <v>NMin</v>
      </c>
      <c r="N54" s="57" t="str">
        <f>IF(ISBLANK(Tabela1[[#This Row],[Max]]),"NMax",IF(Tabela1[[#This Row],[Valor]]&gt;Tabela1[[#This Row],[Max]],Tabela1[[#This Row],[Valor]]-Tabela1[[#This Row],[Max]],"Normal"))</f>
        <v>NMax</v>
      </c>
    </row>
    <row r="55" spans="2:14" x14ac:dyDescent="0.35">
      <c r="B55" s="33" t="s">
        <v>431</v>
      </c>
      <c r="C55" s="33" t="s">
        <v>116</v>
      </c>
      <c r="D55" s="2" t="s">
        <v>119</v>
      </c>
      <c r="E55" s="2" t="s">
        <v>120</v>
      </c>
      <c r="F55" s="3" t="s">
        <v>71</v>
      </c>
      <c r="G55" s="55">
        <v>44281</v>
      </c>
      <c r="H55" s="43">
        <v>103</v>
      </c>
      <c r="I55" s="43" t="str" cm="1">
        <f t="array" ref="I5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55" s="43"/>
      <c r="K55" s="43">
        <v>98</v>
      </c>
      <c r="L55" s="44">
        <v>107</v>
      </c>
      <c r="M55" s="57" t="str">
        <f>IF(ISBLANK(Tabela1[[#This Row],[Min]]),"NMin",IF(Tabela1[[#This Row],[Valor]]&lt;Tabela1[[#This Row],[Min]],Tabela1[[#This Row],[Valor]]-Tabela1[[#This Row],[Min]],"Normal"))</f>
        <v>Normal</v>
      </c>
      <c r="N55" s="57" t="str">
        <f>IF(ISBLANK(Tabela1[[#This Row],[Max]]),"NMax",IF(Tabela1[[#This Row],[Valor]]&gt;Tabela1[[#This Row],[Max]],Tabela1[[#This Row],[Valor]]-Tabela1[[#This Row],[Max]],"Normal"))</f>
        <v>Normal</v>
      </c>
    </row>
    <row r="56" spans="2:14" x14ac:dyDescent="0.35">
      <c r="B56" s="33" t="s">
        <v>431</v>
      </c>
      <c r="C56" s="33" t="s">
        <v>44</v>
      </c>
      <c r="D56" s="2" t="s">
        <v>26</v>
      </c>
      <c r="E56" s="2" t="s">
        <v>24</v>
      </c>
      <c r="F56" s="3" t="s">
        <v>11</v>
      </c>
      <c r="G56" s="55">
        <v>44966</v>
      </c>
      <c r="H56" s="43">
        <v>101</v>
      </c>
      <c r="I56" s="43" t="str" cm="1">
        <f t="array" ref="I5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56" s="43"/>
      <c r="K56" s="43">
        <v>98</v>
      </c>
      <c r="L56" s="44">
        <v>107</v>
      </c>
      <c r="M56" s="57" t="str">
        <f>IF(ISBLANK(Tabela1[[#This Row],[Min]]),"NMin",IF(Tabela1[[#This Row],[Valor]]&lt;Tabela1[[#This Row],[Min]],Tabela1[[#This Row],[Valor]]-Tabela1[[#This Row],[Min]],"Normal"))</f>
        <v>Normal</v>
      </c>
      <c r="N56" s="57" t="str">
        <f>IF(ISBLANK(Tabela1[[#This Row],[Max]]),"NMax",IF(Tabela1[[#This Row],[Valor]]&gt;Tabela1[[#This Row],[Max]],Tabela1[[#This Row],[Valor]]-Tabela1[[#This Row],[Max]],"Normal"))</f>
        <v>Normal</v>
      </c>
    </row>
    <row r="57" spans="2:14" x14ac:dyDescent="0.35">
      <c r="B57" s="33" t="s">
        <v>431</v>
      </c>
      <c r="C57" s="33" t="s">
        <v>44</v>
      </c>
      <c r="D57" s="2" t="s">
        <v>26</v>
      </c>
      <c r="E57" s="2" t="s">
        <v>24</v>
      </c>
      <c r="F57" s="3" t="s">
        <v>11</v>
      </c>
      <c r="G57" s="55">
        <v>43796</v>
      </c>
      <c r="H57" s="43">
        <v>104</v>
      </c>
      <c r="I57" s="43" t="str" cm="1">
        <f t="array" ref="I5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57" s="43"/>
      <c r="K57" s="43">
        <v>98</v>
      </c>
      <c r="L57" s="44">
        <v>107</v>
      </c>
      <c r="M57" s="57" t="str">
        <f>IF(ISBLANK(Tabela1[[#This Row],[Min]]),"NMin",IF(Tabela1[[#This Row],[Valor]]&lt;Tabela1[[#This Row],[Min]],Tabela1[[#This Row],[Valor]]-Tabela1[[#This Row],[Min]],"Normal"))</f>
        <v>Normal</v>
      </c>
      <c r="N57" s="57" t="str">
        <f>IF(ISBLANK(Tabela1[[#This Row],[Max]]),"NMax",IF(Tabela1[[#This Row],[Valor]]&gt;Tabela1[[#This Row],[Max]],Tabela1[[#This Row],[Valor]]-Tabela1[[#This Row],[Max]],"Normal"))</f>
        <v>Normal</v>
      </c>
    </row>
    <row r="58" spans="2:14" x14ac:dyDescent="0.35">
      <c r="B58" s="33" t="s">
        <v>431</v>
      </c>
      <c r="C58" s="33" t="s">
        <v>44</v>
      </c>
      <c r="D58" s="2" t="s">
        <v>26</v>
      </c>
      <c r="E58" s="2"/>
      <c r="F58" s="3" t="s">
        <v>146</v>
      </c>
      <c r="G58" s="55">
        <v>39462</v>
      </c>
      <c r="H58" s="43">
        <v>105</v>
      </c>
      <c r="I58" s="43" t="str" cm="1">
        <f t="array" ref="I5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58" s="43"/>
      <c r="K58" s="43">
        <v>98</v>
      </c>
      <c r="L58" s="44">
        <v>114</v>
      </c>
      <c r="M58" s="57" t="str">
        <f>IF(ISBLANK(Tabela1[[#This Row],[Min]]),"NMin",IF(Tabela1[[#This Row],[Valor]]&lt;Tabela1[[#This Row],[Min]],Tabela1[[#This Row],[Valor]]-Tabela1[[#This Row],[Min]],"Normal"))</f>
        <v>Normal</v>
      </c>
      <c r="N58" s="57" t="str">
        <f>IF(ISBLANK(Tabela1[[#This Row],[Max]]),"NMax",IF(Tabela1[[#This Row],[Valor]]&gt;Tabela1[[#This Row],[Max]],Tabela1[[#This Row],[Valor]]-Tabela1[[#This Row],[Max]],"Normal"))</f>
        <v>Normal</v>
      </c>
    </row>
    <row r="59" spans="2:14" x14ac:dyDescent="0.35">
      <c r="B59" s="33" t="s">
        <v>431</v>
      </c>
      <c r="C59" s="33" t="s">
        <v>44</v>
      </c>
      <c r="D59" s="2" t="s">
        <v>2</v>
      </c>
      <c r="E59" s="2" t="s">
        <v>16</v>
      </c>
      <c r="F59" s="3" t="s">
        <v>11</v>
      </c>
      <c r="G59" s="55">
        <v>44625</v>
      </c>
      <c r="H59" s="43">
        <v>67</v>
      </c>
      <c r="I59" s="43" t="str" cm="1">
        <f t="array" ref="I5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59" s="43"/>
      <c r="K59" s="43">
        <v>60</v>
      </c>
      <c r="L59" s="44"/>
      <c r="M59" s="57" t="str">
        <f>IF(ISBLANK(Tabela1[[#This Row],[Min]]),"NMin",IF(Tabela1[[#This Row],[Valor]]&lt;Tabela1[[#This Row],[Min]],Tabela1[[#This Row],[Valor]]-Tabela1[[#This Row],[Min]],"Normal"))</f>
        <v>Normal</v>
      </c>
      <c r="N59" s="57" t="str">
        <f>IF(ISBLANK(Tabela1[[#This Row],[Max]]),"NMax",IF(Tabela1[[#This Row],[Valor]]&gt;Tabela1[[#This Row],[Max]],Tabela1[[#This Row],[Valor]]-Tabela1[[#This Row],[Max]],"Normal"))</f>
        <v>NMax</v>
      </c>
    </row>
    <row r="60" spans="2:14" x14ac:dyDescent="0.35">
      <c r="B60" s="33" t="s">
        <v>431</v>
      </c>
      <c r="C60" s="33" t="s">
        <v>44</v>
      </c>
      <c r="D60" s="2" t="s">
        <v>2</v>
      </c>
      <c r="E60" s="2" t="s">
        <v>16</v>
      </c>
      <c r="F60" s="3" t="s">
        <v>11</v>
      </c>
      <c r="G60" s="55">
        <v>44966</v>
      </c>
      <c r="H60" s="43">
        <v>69</v>
      </c>
      <c r="I60" s="43" t="str" cm="1">
        <f t="array" ref="I6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60" s="43"/>
      <c r="K60" s="43">
        <v>60</v>
      </c>
      <c r="L60" s="44"/>
      <c r="M60" s="57" t="str">
        <f>IF(ISBLANK(Tabela1[[#This Row],[Min]]),"NMin",IF(Tabela1[[#This Row],[Valor]]&lt;Tabela1[[#This Row],[Min]],Tabela1[[#This Row],[Valor]]-Tabela1[[#This Row],[Min]],"Normal"))</f>
        <v>Normal</v>
      </c>
      <c r="N60" s="57" t="str">
        <f>IF(ISBLANK(Tabela1[[#This Row],[Max]]),"NMax",IF(Tabela1[[#This Row],[Valor]]&gt;Tabela1[[#This Row],[Max]],Tabela1[[#This Row],[Valor]]-Tabela1[[#This Row],[Max]],"Normal"))</f>
        <v>NMax</v>
      </c>
    </row>
    <row r="61" spans="2:14" x14ac:dyDescent="0.35">
      <c r="B61" s="33" t="s">
        <v>431</v>
      </c>
      <c r="C61" s="33" t="s">
        <v>44</v>
      </c>
      <c r="D61" s="2" t="s">
        <v>2</v>
      </c>
      <c r="E61" s="2"/>
      <c r="F61" s="3" t="s">
        <v>146</v>
      </c>
      <c r="G61" s="55">
        <v>39462</v>
      </c>
      <c r="H61" s="43">
        <v>70</v>
      </c>
      <c r="I61" s="43" t="str" cm="1">
        <f t="array" ref="I6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61" s="43"/>
      <c r="K61" s="43">
        <v>30</v>
      </c>
      <c r="L61" s="44">
        <v>70</v>
      </c>
      <c r="M61" s="57" t="str">
        <f>IF(ISBLANK(Tabela1[[#This Row],[Min]]),"NMin",IF(Tabela1[[#This Row],[Valor]]&lt;Tabela1[[#This Row],[Min]],Tabela1[[#This Row],[Valor]]-Tabela1[[#This Row],[Min]],"Normal"))</f>
        <v>Normal</v>
      </c>
      <c r="N61" s="57" t="str">
        <f>IF(ISBLANK(Tabela1[[#This Row],[Max]]),"NMax",IF(Tabela1[[#This Row],[Valor]]&gt;Tabela1[[#This Row],[Max]],Tabela1[[#This Row],[Valor]]-Tabela1[[#This Row],[Max]],"Normal"))</f>
        <v>Normal</v>
      </c>
    </row>
    <row r="62" spans="2:14" x14ac:dyDescent="0.35">
      <c r="B62" s="33" t="s">
        <v>431</v>
      </c>
      <c r="C62" s="33" t="s">
        <v>44</v>
      </c>
      <c r="D62" s="2" t="s">
        <v>2</v>
      </c>
      <c r="E62" s="2" t="s">
        <v>21</v>
      </c>
      <c r="F62" s="3" t="s">
        <v>4</v>
      </c>
      <c r="G62" s="55">
        <v>44259</v>
      </c>
      <c r="H62" s="43">
        <v>76</v>
      </c>
      <c r="I62" s="43" t="str" cm="1">
        <f t="array" ref="I6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62" s="43"/>
      <c r="K62" s="43">
        <v>40</v>
      </c>
      <c r="L62" s="44"/>
      <c r="M62" s="57" t="str">
        <f>IF(ISBLANK(Tabela1[[#This Row],[Min]]),"NMin",IF(Tabela1[[#This Row],[Valor]]&lt;Tabela1[[#This Row],[Min]],Tabela1[[#This Row],[Valor]]-Tabela1[[#This Row],[Min]],"Normal"))</f>
        <v>Normal</v>
      </c>
      <c r="N62" s="57" t="str">
        <f>IF(ISBLANK(Tabela1[[#This Row],[Max]]),"NMax",IF(Tabela1[[#This Row],[Valor]]&gt;Tabela1[[#This Row],[Max]],Tabela1[[#This Row],[Valor]]-Tabela1[[#This Row],[Max]],"Normal"))</f>
        <v>NMax</v>
      </c>
    </row>
    <row r="63" spans="2:14" x14ac:dyDescent="0.35">
      <c r="B63" s="33" t="s">
        <v>431</v>
      </c>
      <c r="C63" s="33" t="s">
        <v>44</v>
      </c>
      <c r="D63" s="2" t="s">
        <v>2</v>
      </c>
      <c r="E63" s="2" t="s">
        <v>21</v>
      </c>
      <c r="F63" s="3" t="s">
        <v>4</v>
      </c>
      <c r="G63" s="55">
        <v>45022</v>
      </c>
      <c r="H63" s="43">
        <v>80</v>
      </c>
      <c r="I63" s="43" t="str" cm="1">
        <f t="array" ref="I6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63" s="43"/>
      <c r="K63" s="43">
        <v>40</v>
      </c>
      <c r="L63" s="44"/>
      <c r="M63" s="57" t="str">
        <f>IF(ISBLANK(Tabela1[[#This Row],[Min]]),"NMin",IF(Tabela1[[#This Row],[Valor]]&lt;Tabela1[[#This Row],[Min]],Tabela1[[#This Row],[Valor]]-Tabela1[[#This Row],[Min]],"Normal"))</f>
        <v>Normal</v>
      </c>
      <c r="N63" s="57" t="str">
        <f>IF(ISBLANK(Tabela1[[#This Row],[Max]]),"NMax",IF(Tabela1[[#This Row],[Valor]]&gt;Tabela1[[#This Row],[Max]],Tabela1[[#This Row],[Valor]]-Tabela1[[#This Row],[Max]],"Normal"))</f>
        <v>NMax</v>
      </c>
    </row>
    <row r="64" spans="2:14" x14ac:dyDescent="0.35">
      <c r="B64" s="33" t="s">
        <v>431</v>
      </c>
      <c r="C64" s="33" t="s">
        <v>44</v>
      </c>
      <c r="D64" s="2" t="s">
        <v>3</v>
      </c>
      <c r="E64" s="2" t="s">
        <v>22</v>
      </c>
      <c r="F64" s="3" t="s">
        <v>4</v>
      </c>
      <c r="G64" s="55">
        <v>45022</v>
      </c>
      <c r="H64" s="43">
        <v>90</v>
      </c>
      <c r="I64" s="43" t="str" cm="1">
        <f t="array" ref="I6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64" s="43"/>
      <c r="K64" s="43"/>
      <c r="L64" s="44">
        <v>116</v>
      </c>
      <c r="M64" s="57" t="str">
        <f>IF(ISBLANK(Tabela1[[#This Row],[Min]]),"NMin",IF(Tabela1[[#This Row],[Valor]]&lt;Tabela1[[#This Row],[Min]],Tabela1[[#This Row],[Valor]]-Tabela1[[#This Row],[Min]],"Normal"))</f>
        <v>NMin</v>
      </c>
      <c r="N64" s="57" t="str">
        <f>IF(ISBLANK(Tabela1[[#This Row],[Max]]),"NMax",IF(Tabela1[[#This Row],[Valor]]&gt;Tabela1[[#This Row],[Max]],Tabela1[[#This Row],[Valor]]-Tabela1[[#This Row],[Max]],"Normal"))</f>
        <v>Normal</v>
      </c>
    </row>
    <row r="65" spans="2:14" x14ac:dyDescent="0.35">
      <c r="B65" s="33" t="s">
        <v>431</v>
      </c>
      <c r="C65" s="33" t="s">
        <v>44</v>
      </c>
      <c r="D65" s="2" t="s">
        <v>3</v>
      </c>
      <c r="E65" s="2" t="s">
        <v>22</v>
      </c>
      <c r="F65" s="3" t="s">
        <v>4</v>
      </c>
      <c r="G65" s="55">
        <v>44259</v>
      </c>
      <c r="H65" s="43">
        <v>100</v>
      </c>
      <c r="I65" s="43" t="str" cm="1">
        <f t="array" ref="I6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65" s="43"/>
      <c r="K65" s="43"/>
      <c r="L65" s="44">
        <v>116</v>
      </c>
      <c r="M65" s="57" t="str">
        <f>IF(ISBLANK(Tabela1[[#This Row],[Min]]),"NMin",IF(Tabela1[[#This Row],[Valor]]&lt;Tabela1[[#This Row],[Min]],Tabela1[[#This Row],[Valor]]-Tabela1[[#This Row],[Min]],"Normal"))</f>
        <v>NMin</v>
      </c>
      <c r="N65" s="57" t="str">
        <f>IF(ISBLANK(Tabela1[[#This Row],[Max]]),"NMax",IF(Tabela1[[#This Row],[Valor]]&gt;Tabela1[[#This Row],[Max]],Tabela1[[#This Row],[Valor]]-Tabela1[[#This Row],[Max]],"Normal"))</f>
        <v>Normal</v>
      </c>
    </row>
    <row r="66" spans="2:14" x14ac:dyDescent="0.35">
      <c r="B66" s="33" t="s">
        <v>431</v>
      </c>
      <c r="C66" s="33" t="s">
        <v>44</v>
      </c>
      <c r="D66" s="2" t="s">
        <v>3</v>
      </c>
      <c r="E66" s="2" t="s">
        <v>16</v>
      </c>
      <c r="F66" s="3" t="s">
        <v>11</v>
      </c>
      <c r="G66" s="55">
        <v>44625</v>
      </c>
      <c r="H66" s="43">
        <v>102</v>
      </c>
      <c r="I66" s="43" t="str" cm="1">
        <f t="array" ref="I6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66" s="43"/>
      <c r="K66" s="43"/>
      <c r="L66" s="44">
        <v>130</v>
      </c>
      <c r="M66" s="57" t="str">
        <f>IF(ISBLANK(Tabela1[[#This Row],[Min]]),"NMin",IF(Tabela1[[#This Row],[Valor]]&lt;Tabela1[[#This Row],[Min]],Tabela1[[#This Row],[Valor]]-Tabela1[[#This Row],[Min]],"Normal"))</f>
        <v>NMin</v>
      </c>
      <c r="N66" s="57" t="str">
        <f>IF(ISBLANK(Tabela1[[#This Row],[Max]]),"NMax",IF(Tabela1[[#This Row],[Valor]]&gt;Tabela1[[#This Row],[Max]],Tabela1[[#This Row],[Valor]]-Tabela1[[#This Row],[Max]],"Normal"))</f>
        <v>Normal</v>
      </c>
    </row>
    <row r="67" spans="2:14" x14ac:dyDescent="0.35">
      <c r="B67" s="33" t="s">
        <v>431</v>
      </c>
      <c r="C67" s="33" t="s">
        <v>44</v>
      </c>
      <c r="D67" s="2" t="s">
        <v>3</v>
      </c>
      <c r="E67" s="2"/>
      <c r="F67" s="3" t="s">
        <v>146</v>
      </c>
      <c r="G67" s="55">
        <v>39462</v>
      </c>
      <c r="H67" s="43">
        <v>103.6</v>
      </c>
      <c r="I67" s="43" t="str" cm="1">
        <f t="array" ref="I6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67" s="43"/>
      <c r="K67" s="43"/>
      <c r="L67" s="44">
        <v>130</v>
      </c>
      <c r="M67" s="57" t="str">
        <f>IF(ISBLANK(Tabela1[[#This Row],[Min]]),"NMin",IF(Tabela1[[#This Row],[Valor]]&lt;Tabela1[[#This Row],[Min]],Tabela1[[#This Row],[Valor]]-Tabela1[[#This Row],[Min]],"Normal"))</f>
        <v>NMin</v>
      </c>
      <c r="N67" s="57" t="str">
        <f>IF(ISBLANK(Tabela1[[#This Row],[Max]]),"NMax",IF(Tabela1[[#This Row],[Valor]]&gt;Tabela1[[#This Row],[Max]],Tabela1[[#This Row],[Valor]]-Tabela1[[#This Row],[Max]],"Normal"))</f>
        <v>Normal</v>
      </c>
    </row>
    <row r="68" spans="2:14" x14ac:dyDescent="0.35">
      <c r="B68" s="33" t="s">
        <v>431</v>
      </c>
      <c r="C68" s="33" t="s">
        <v>44</v>
      </c>
      <c r="D68" s="2" t="s">
        <v>3</v>
      </c>
      <c r="E68" s="2" t="s">
        <v>16</v>
      </c>
      <c r="F68" s="3" t="s">
        <v>11</v>
      </c>
      <c r="G68" s="55">
        <v>44966</v>
      </c>
      <c r="H68" s="43">
        <v>106</v>
      </c>
      <c r="I68" s="43" t="str" cm="1">
        <f t="array" ref="I6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68" s="43"/>
      <c r="K68" s="43"/>
      <c r="L68" s="44">
        <v>130</v>
      </c>
      <c r="M68" s="57" t="str">
        <f>IF(ISBLANK(Tabela1[[#This Row],[Min]]),"NMin",IF(Tabela1[[#This Row],[Valor]]&lt;Tabela1[[#This Row],[Min]],Tabela1[[#This Row],[Valor]]-Tabela1[[#This Row],[Min]],"Normal"))</f>
        <v>NMin</v>
      </c>
      <c r="N68" s="57" t="str">
        <f>IF(ISBLANK(Tabela1[[#This Row],[Max]]),"NMax",IF(Tabela1[[#This Row],[Valor]]&gt;Tabela1[[#This Row],[Max]],Tabela1[[#This Row],[Valor]]-Tabela1[[#This Row],[Max]],"Normal"))</f>
        <v>Normal</v>
      </c>
    </row>
    <row r="69" spans="2:14" x14ac:dyDescent="0.35">
      <c r="B69" s="33" t="s">
        <v>431</v>
      </c>
      <c r="C69" s="33" t="s">
        <v>44</v>
      </c>
      <c r="D69" s="2" t="s">
        <v>145</v>
      </c>
      <c r="E69" s="2"/>
      <c r="F69" s="3" t="s">
        <v>143</v>
      </c>
      <c r="G69" s="55">
        <v>41291</v>
      </c>
      <c r="H69" s="43">
        <v>95</v>
      </c>
      <c r="I69" s="43" t="str" cm="1">
        <f t="array" ref="I6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69" s="43"/>
      <c r="K69" s="43"/>
      <c r="L69" s="44">
        <v>130</v>
      </c>
      <c r="M69" s="57" t="str">
        <f>IF(ISBLANK(Tabela1[[#This Row],[Min]]),"NMin",IF(Tabela1[[#This Row],[Valor]]&lt;Tabela1[[#This Row],[Min]],Tabela1[[#This Row],[Valor]]-Tabela1[[#This Row],[Min]],"Normal"))</f>
        <v>NMin</v>
      </c>
      <c r="N69" s="57" t="str">
        <f>IF(ISBLANK(Tabela1[[#This Row],[Max]]),"NMax",IF(Tabela1[[#This Row],[Valor]]&gt;Tabela1[[#This Row],[Max]],Tabela1[[#This Row],[Valor]]-Tabela1[[#This Row],[Max]],"Normal"))</f>
        <v>Normal</v>
      </c>
    </row>
    <row r="70" spans="2:14" x14ac:dyDescent="0.35">
      <c r="B70" s="33" t="s">
        <v>431</v>
      </c>
      <c r="C70" s="33" t="s">
        <v>106</v>
      </c>
      <c r="D70" s="2" t="s">
        <v>109</v>
      </c>
      <c r="E70" s="2" t="s">
        <v>110</v>
      </c>
      <c r="F70" s="3" t="s">
        <v>71</v>
      </c>
      <c r="G70" s="55">
        <v>43675</v>
      </c>
      <c r="H70" s="43">
        <v>64</v>
      </c>
      <c r="I70" s="43" t="str" cm="1">
        <f t="array" ref="I7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70" s="43"/>
      <c r="K70" s="43">
        <v>35</v>
      </c>
      <c r="L70" s="44">
        <v>55</v>
      </c>
      <c r="M70" s="57" t="str">
        <f>IF(ISBLANK(Tabela1[[#This Row],[Min]]),"NMin",IF(Tabela1[[#This Row],[Valor]]&lt;Tabela1[[#This Row],[Min]],Tabela1[[#This Row],[Valor]]-Tabela1[[#This Row],[Min]],"Normal"))</f>
        <v>Normal</v>
      </c>
      <c r="N70" s="57">
        <f>IF(ISBLANK(Tabela1[[#This Row],[Max]]),"NMax",IF(Tabela1[[#This Row],[Valor]]&gt;Tabela1[[#This Row],[Max]],Tabela1[[#This Row],[Valor]]-Tabela1[[#This Row],[Max]],"Normal"))</f>
        <v>9</v>
      </c>
    </row>
    <row r="71" spans="2:14" x14ac:dyDescent="0.35">
      <c r="B71" s="33" t="s">
        <v>431</v>
      </c>
      <c r="C71" s="33" t="s">
        <v>106</v>
      </c>
      <c r="D71" s="2" t="s">
        <v>109</v>
      </c>
      <c r="E71" s="2"/>
      <c r="F71" s="3" t="s">
        <v>142</v>
      </c>
      <c r="G71" s="55">
        <v>42478</v>
      </c>
      <c r="H71" s="43">
        <v>65</v>
      </c>
      <c r="I71" s="43" t="str" cm="1">
        <f t="array" ref="I7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71" s="43"/>
      <c r="K71" s="43">
        <v>45</v>
      </c>
      <c r="L71" s="44"/>
      <c r="M71" s="57" t="str">
        <f>IF(ISBLANK(Tabela1[[#This Row],[Min]]),"NMin",IF(Tabela1[[#This Row],[Valor]]&lt;Tabela1[[#This Row],[Min]],Tabela1[[#This Row],[Valor]]-Tabela1[[#This Row],[Min]],"Normal"))</f>
        <v>Normal</v>
      </c>
      <c r="N71" s="57" t="str">
        <f>IF(ISBLANK(Tabela1[[#This Row],[Max]]),"NMax",IF(Tabela1[[#This Row],[Valor]]&gt;Tabela1[[#This Row],[Max]],Tabela1[[#This Row],[Valor]]-Tabela1[[#This Row],[Max]],"Normal"))</f>
        <v>NMax</v>
      </c>
    </row>
    <row r="72" spans="2:14" x14ac:dyDescent="0.35">
      <c r="B72" s="33" t="s">
        <v>431</v>
      </c>
      <c r="C72" s="33" t="s">
        <v>106</v>
      </c>
      <c r="D72" s="2" t="s">
        <v>109</v>
      </c>
      <c r="E72" s="2"/>
      <c r="F72" s="3" t="s">
        <v>142</v>
      </c>
      <c r="G72" s="55">
        <v>42984</v>
      </c>
      <c r="H72" s="43">
        <v>66</v>
      </c>
      <c r="I72" s="43" t="str" cm="1">
        <f t="array" ref="I7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72" s="43"/>
      <c r="K72" s="43">
        <v>45</v>
      </c>
      <c r="L72" s="44"/>
      <c r="M72" s="57" t="str">
        <f>IF(ISBLANK(Tabela1[[#This Row],[Min]]),"NMin",IF(Tabela1[[#This Row],[Valor]]&lt;Tabela1[[#This Row],[Min]],Tabela1[[#This Row],[Valor]]-Tabela1[[#This Row],[Min]],"Normal"))</f>
        <v>Normal</v>
      </c>
      <c r="N72" s="57" t="str">
        <f>IF(ISBLANK(Tabela1[[#This Row],[Max]]),"NMax",IF(Tabela1[[#This Row],[Valor]]&gt;Tabela1[[#This Row],[Max]],Tabela1[[#This Row],[Valor]]-Tabela1[[#This Row],[Max]],"Normal"))</f>
        <v>NMax</v>
      </c>
    </row>
    <row r="73" spans="2:14" x14ac:dyDescent="0.35">
      <c r="B73" s="33" t="s">
        <v>431</v>
      </c>
      <c r="C73" s="33" t="s">
        <v>106</v>
      </c>
      <c r="D73" s="2" t="s">
        <v>109</v>
      </c>
      <c r="E73" s="2" t="s">
        <v>110</v>
      </c>
      <c r="F73" s="3" t="s">
        <v>71</v>
      </c>
      <c r="G73" s="55">
        <v>44281</v>
      </c>
      <c r="H73" s="43">
        <v>79</v>
      </c>
      <c r="I73" s="43" t="str" cm="1">
        <f t="array" ref="I7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73" s="43"/>
      <c r="K73" s="43">
        <v>35</v>
      </c>
      <c r="L73" s="44">
        <v>55</v>
      </c>
      <c r="M73" s="57" t="str">
        <f>IF(ISBLANK(Tabela1[[#This Row],[Min]]),"NMin",IF(Tabela1[[#This Row],[Valor]]&lt;Tabela1[[#This Row],[Min]],Tabela1[[#This Row],[Valor]]-Tabela1[[#This Row],[Min]],"Normal"))</f>
        <v>Normal</v>
      </c>
      <c r="N73" s="57">
        <f>IF(ISBLANK(Tabela1[[#This Row],[Max]]),"NMax",IF(Tabela1[[#This Row],[Valor]]&gt;Tabela1[[#This Row],[Max]],Tabela1[[#This Row],[Valor]]-Tabela1[[#This Row],[Max]],"Normal"))</f>
        <v>24</v>
      </c>
    </row>
    <row r="74" spans="2:14" x14ac:dyDescent="0.35">
      <c r="B74" s="33" t="s">
        <v>431</v>
      </c>
      <c r="C74" s="33" t="s">
        <v>106</v>
      </c>
      <c r="D74" s="2" t="s">
        <v>1</v>
      </c>
      <c r="E74" s="2" t="s">
        <v>107</v>
      </c>
      <c r="F74" s="3" t="s">
        <v>71</v>
      </c>
      <c r="G74" s="55">
        <v>43675</v>
      </c>
      <c r="H74" s="50">
        <v>173</v>
      </c>
      <c r="I74" s="50" t="str" cm="1">
        <f t="array" ref="I7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74" s="50"/>
      <c r="K74" s="43"/>
      <c r="L74" s="44">
        <v>190</v>
      </c>
      <c r="M74" s="57" t="str">
        <f>IF(ISBLANK(Tabela1[[#This Row],[Min]]),"NMin",IF(Tabela1[[#This Row],[Valor]]&lt;Tabela1[[#This Row],[Min]],Tabela1[[#This Row],[Valor]]-Tabela1[[#This Row],[Min]],"Normal"))</f>
        <v>NMin</v>
      </c>
      <c r="N74" s="57" t="str">
        <f>IF(ISBLANK(Tabela1[[#This Row],[Max]]),"NMax",IF(Tabela1[[#This Row],[Valor]]&gt;Tabela1[[#This Row],[Max]],Tabela1[[#This Row],[Valor]]-Tabela1[[#This Row],[Max]],"Normal"))</f>
        <v>Normal</v>
      </c>
    </row>
    <row r="75" spans="2:14" x14ac:dyDescent="0.35">
      <c r="B75" s="33" t="s">
        <v>431</v>
      </c>
      <c r="C75" s="33" t="s">
        <v>106</v>
      </c>
      <c r="D75" s="2" t="s">
        <v>1</v>
      </c>
      <c r="E75" s="2" t="s">
        <v>16</v>
      </c>
      <c r="F75" s="3" t="s">
        <v>11</v>
      </c>
      <c r="G75" s="55">
        <v>43796</v>
      </c>
      <c r="H75" s="43">
        <v>182</v>
      </c>
      <c r="I75" s="43" t="str" cm="1">
        <f t="array" ref="I7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75" s="43"/>
      <c r="K75" s="43"/>
      <c r="L75" s="44">
        <v>300</v>
      </c>
      <c r="M75" s="57" t="str">
        <f>IF(ISBLANK(Tabela1[[#This Row],[Min]]),"NMin",IF(Tabela1[[#This Row],[Valor]]&lt;Tabela1[[#This Row],[Min]],Tabela1[[#This Row],[Valor]]-Tabela1[[#This Row],[Min]],"Normal"))</f>
        <v>NMin</v>
      </c>
      <c r="N75" s="57" t="str">
        <f>IF(ISBLANK(Tabela1[[#This Row],[Max]]),"NMax",IF(Tabela1[[#This Row],[Valor]]&gt;Tabela1[[#This Row],[Max]],Tabela1[[#This Row],[Valor]]-Tabela1[[#This Row],[Max]],"Normal"))</f>
        <v>Normal</v>
      </c>
    </row>
    <row r="76" spans="2:14" x14ac:dyDescent="0.35">
      <c r="B76" s="33" t="s">
        <v>431</v>
      </c>
      <c r="C76" s="33" t="s">
        <v>106</v>
      </c>
      <c r="D76" s="2" t="s">
        <v>1</v>
      </c>
      <c r="E76" s="2"/>
      <c r="F76" s="3" t="s">
        <v>142</v>
      </c>
      <c r="G76" s="55">
        <v>42984</v>
      </c>
      <c r="H76" s="50">
        <v>182</v>
      </c>
      <c r="I76" s="50" t="str" cm="1">
        <f t="array" ref="I7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76" s="50"/>
      <c r="K76" s="43"/>
      <c r="L76" s="44">
        <v>190</v>
      </c>
      <c r="M76" s="57" t="str">
        <f>IF(ISBLANK(Tabela1[[#This Row],[Min]]),"NMin",IF(Tabela1[[#This Row],[Valor]]&lt;Tabela1[[#This Row],[Min]],Tabela1[[#This Row],[Valor]]-Tabela1[[#This Row],[Min]],"Normal"))</f>
        <v>NMin</v>
      </c>
      <c r="N76" s="57" t="str">
        <f>IF(ISBLANK(Tabela1[[#This Row],[Max]]),"NMax",IF(Tabela1[[#This Row],[Valor]]&gt;Tabela1[[#This Row],[Max]],Tabela1[[#This Row],[Valor]]-Tabela1[[#This Row],[Max]],"Normal"))</f>
        <v>Normal</v>
      </c>
    </row>
    <row r="77" spans="2:14" x14ac:dyDescent="0.35">
      <c r="B77" s="33" t="s">
        <v>431</v>
      </c>
      <c r="C77" s="33" t="s">
        <v>106</v>
      </c>
      <c r="D77" s="2" t="s">
        <v>1</v>
      </c>
      <c r="E77" s="2"/>
      <c r="F77" s="3" t="s">
        <v>143</v>
      </c>
      <c r="G77" s="55">
        <v>41291</v>
      </c>
      <c r="H77" s="50">
        <v>184</v>
      </c>
      <c r="I77" s="50" t="str" cm="1">
        <f t="array" ref="I7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77" s="50"/>
      <c r="K77" s="43"/>
      <c r="L77" s="44">
        <v>200</v>
      </c>
      <c r="M77" s="57" t="str">
        <f>IF(ISBLANK(Tabela1[[#This Row],[Min]]),"NMin",IF(Tabela1[[#This Row],[Valor]]&lt;Tabela1[[#This Row],[Min]],Tabela1[[#This Row],[Valor]]-Tabela1[[#This Row],[Min]],"Normal"))</f>
        <v>NMin</v>
      </c>
      <c r="N77" s="57" t="str">
        <f>IF(ISBLANK(Tabela1[[#This Row],[Max]]),"NMax",IF(Tabela1[[#This Row],[Valor]]&gt;Tabela1[[#This Row],[Max]],Tabela1[[#This Row],[Valor]]-Tabela1[[#This Row],[Max]],"Normal"))</f>
        <v>Normal</v>
      </c>
    </row>
    <row r="78" spans="2:14" x14ac:dyDescent="0.35">
      <c r="B78" s="33" t="s">
        <v>431</v>
      </c>
      <c r="C78" s="33" t="s">
        <v>106</v>
      </c>
      <c r="D78" s="2" t="s">
        <v>1</v>
      </c>
      <c r="E78" s="2" t="s">
        <v>16</v>
      </c>
      <c r="F78" s="3" t="s">
        <v>11</v>
      </c>
      <c r="G78" s="55">
        <v>44966</v>
      </c>
      <c r="H78" s="43">
        <v>187</v>
      </c>
      <c r="I78" s="43" t="str" cm="1">
        <f t="array" ref="I7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78" s="43"/>
      <c r="K78" s="43"/>
      <c r="L78" s="44">
        <v>300</v>
      </c>
      <c r="M78" s="57" t="str">
        <f>IF(ISBLANK(Tabela1[[#This Row],[Min]]),"NMin",IF(Tabela1[[#This Row],[Valor]]&lt;Tabela1[[#This Row],[Min]],Tabela1[[#This Row],[Valor]]-Tabela1[[#This Row],[Min]],"Normal"))</f>
        <v>NMin</v>
      </c>
      <c r="N78" s="57" t="str">
        <f>IF(ISBLANK(Tabela1[[#This Row],[Max]]),"NMax",IF(Tabela1[[#This Row],[Valor]]&gt;Tabela1[[#This Row],[Max]],Tabela1[[#This Row],[Valor]]-Tabela1[[#This Row],[Max]],"Normal"))</f>
        <v>Normal</v>
      </c>
    </row>
    <row r="79" spans="2:14" x14ac:dyDescent="0.35">
      <c r="B79" s="33" t="s">
        <v>431</v>
      </c>
      <c r="C79" s="33" t="s">
        <v>106</v>
      </c>
      <c r="D79" s="2" t="s">
        <v>1</v>
      </c>
      <c r="E79" s="2" t="s">
        <v>16</v>
      </c>
      <c r="F79" s="3" t="s">
        <v>11</v>
      </c>
      <c r="G79" s="55">
        <v>44625</v>
      </c>
      <c r="H79" s="43">
        <v>187</v>
      </c>
      <c r="I79" s="43" t="str" cm="1">
        <f t="array" ref="I7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79" s="43"/>
      <c r="K79" s="43"/>
      <c r="L79" s="44">
        <v>300</v>
      </c>
      <c r="M79" s="57" t="str">
        <f>IF(ISBLANK(Tabela1[[#This Row],[Min]]),"NMin",IF(Tabela1[[#This Row],[Valor]]&lt;Tabela1[[#This Row],[Min]],Tabela1[[#This Row],[Valor]]-Tabela1[[#This Row],[Min]],"Normal"))</f>
        <v>NMin</v>
      </c>
      <c r="N79" s="57" t="str">
        <f>IF(ISBLANK(Tabela1[[#This Row],[Max]]),"NMax",IF(Tabela1[[#This Row],[Valor]]&gt;Tabela1[[#This Row],[Max]],Tabela1[[#This Row],[Valor]]-Tabela1[[#This Row],[Max]],"Normal"))</f>
        <v>Normal</v>
      </c>
    </row>
    <row r="80" spans="2:14" x14ac:dyDescent="0.35">
      <c r="B80" s="33" t="s">
        <v>431</v>
      </c>
      <c r="C80" s="33" t="s">
        <v>106</v>
      </c>
      <c r="D80" s="2" t="s">
        <v>1</v>
      </c>
      <c r="E80" s="2" t="s">
        <v>18</v>
      </c>
      <c r="F80" s="3" t="s">
        <v>4</v>
      </c>
      <c r="G80" s="55">
        <v>45022</v>
      </c>
      <c r="H80" s="43">
        <v>188</v>
      </c>
      <c r="I80" s="43" t="str" cm="1">
        <f t="array" ref="I8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80" s="43"/>
      <c r="K80" s="43"/>
      <c r="L80" s="44">
        <v>190</v>
      </c>
      <c r="M80" s="57" t="str">
        <f>IF(ISBLANK(Tabela1[[#This Row],[Min]]),"NMin",IF(Tabela1[[#This Row],[Valor]]&lt;Tabela1[[#This Row],[Min]],Tabela1[[#This Row],[Valor]]-Tabela1[[#This Row],[Min]],"Normal"))</f>
        <v>NMin</v>
      </c>
      <c r="N80" s="57" t="str">
        <f>IF(ISBLANK(Tabela1[[#This Row],[Max]]),"NMax",IF(Tabela1[[#This Row],[Valor]]&gt;Tabela1[[#This Row],[Max]],Tabela1[[#This Row],[Valor]]-Tabela1[[#This Row],[Max]],"Normal"))</f>
        <v>Normal</v>
      </c>
    </row>
    <row r="81" spans="2:14" x14ac:dyDescent="0.35">
      <c r="B81" s="33" t="s">
        <v>431</v>
      </c>
      <c r="C81" s="33" t="s">
        <v>106</v>
      </c>
      <c r="D81" s="2" t="s">
        <v>1</v>
      </c>
      <c r="E81" s="2"/>
      <c r="F81" s="3" t="s">
        <v>142</v>
      </c>
      <c r="G81" s="55">
        <v>42478</v>
      </c>
      <c r="H81" s="50">
        <v>189</v>
      </c>
      <c r="I81" s="50" t="str" cm="1">
        <f t="array" ref="I8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81" s="50"/>
      <c r="K81" s="43"/>
      <c r="L81" s="44">
        <v>190</v>
      </c>
      <c r="M81" s="57" t="str">
        <f>IF(ISBLANK(Tabela1[[#This Row],[Min]]),"NMin",IF(Tabela1[[#This Row],[Valor]]&lt;Tabela1[[#This Row],[Min]],Tabela1[[#This Row],[Valor]]-Tabela1[[#This Row],[Min]],"Normal"))</f>
        <v>NMin</v>
      </c>
      <c r="N81" s="57" t="str">
        <f>IF(ISBLANK(Tabela1[[#This Row],[Max]]),"NMax",IF(Tabela1[[#This Row],[Valor]]&gt;Tabela1[[#This Row],[Max]],Tabela1[[#This Row],[Valor]]-Tabela1[[#This Row],[Max]],"Normal"))</f>
        <v>Normal</v>
      </c>
    </row>
    <row r="82" spans="2:14" x14ac:dyDescent="0.35">
      <c r="B82" s="33" t="s">
        <v>431</v>
      </c>
      <c r="C82" s="33" t="s">
        <v>106</v>
      </c>
      <c r="D82" s="2" t="s">
        <v>1</v>
      </c>
      <c r="E82" s="2" t="s">
        <v>18</v>
      </c>
      <c r="F82" s="3" t="s">
        <v>4</v>
      </c>
      <c r="G82" s="55">
        <v>44259</v>
      </c>
      <c r="H82" s="43">
        <v>195</v>
      </c>
      <c r="I82" s="43" t="str" cm="1">
        <f t="array" ref="I8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82" s="43"/>
      <c r="K82" s="43"/>
      <c r="L82" s="44">
        <v>190</v>
      </c>
      <c r="M82" s="57" t="str">
        <f>IF(ISBLANK(Tabela1[[#This Row],[Min]]),"NMin",IF(Tabela1[[#This Row],[Valor]]&lt;Tabela1[[#This Row],[Min]],Tabela1[[#This Row],[Valor]]-Tabela1[[#This Row],[Min]],"Normal"))</f>
        <v>NMin</v>
      </c>
      <c r="N82" s="57">
        <f>IF(ISBLANK(Tabela1[[#This Row],[Max]]),"NMax",IF(Tabela1[[#This Row],[Valor]]&gt;Tabela1[[#This Row],[Max]],Tabela1[[#This Row],[Valor]]-Tabela1[[#This Row],[Max]],"Normal"))</f>
        <v>5</v>
      </c>
    </row>
    <row r="83" spans="2:14" x14ac:dyDescent="0.35">
      <c r="B83" s="33" t="s">
        <v>431</v>
      </c>
      <c r="C83" s="33" t="s">
        <v>106</v>
      </c>
      <c r="D83" s="2" t="s">
        <v>1</v>
      </c>
      <c r="E83" s="2"/>
      <c r="F83" s="3" t="s">
        <v>146</v>
      </c>
      <c r="G83" s="55">
        <v>39462</v>
      </c>
      <c r="H83" s="50">
        <v>195</v>
      </c>
      <c r="I83" s="50" t="str" cm="1">
        <f t="array" ref="I8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83" s="50"/>
      <c r="K83" s="43">
        <v>112</v>
      </c>
      <c r="L83" s="44">
        <v>200</v>
      </c>
      <c r="M83" s="57" t="str">
        <f>IF(ISBLANK(Tabela1[[#This Row],[Min]]),"NMin",IF(Tabela1[[#This Row],[Valor]]&lt;Tabela1[[#This Row],[Min]],Tabela1[[#This Row],[Valor]]-Tabela1[[#This Row],[Min]],"Normal"))</f>
        <v>Normal</v>
      </c>
      <c r="N83" s="57" t="str">
        <f>IF(ISBLANK(Tabela1[[#This Row],[Max]]),"NMax",IF(Tabela1[[#This Row],[Valor]]&gt;Tabela1[[#This Row],[Max]],Tabela1[[#This Row],[Valor]]-Tabela1[[#This Row],[Max]],"Normal"))</f>
        <v>Normal</v>
      </c>
    </row>
    <row r="84" spans="2:14" x14ac:dyDescent="0.35">
      <c r="B84" s="33" t="s">
        <v>431</v>
      </c>
      <c r="C84" s="33" t="s">
        <v>106</v>
      </c>
      <c r="D84" s="2" t="s">
        <v>1</v>
      </c>
      <c r="E84" s="2" t="s">
        <v>107</v>
      </c>
      <c r="F84" s="3" t="s">
        <v>71</v>
      </c>
      <c r="G84" s="55">
        <v>44281</v>
      </c>
      <c r="H84" s="50">
        <v>217</v>
      </c>
      <c r="I84" s="50" t="str" cm="1">
        <f t="array" ref="I8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84" s="50"/>
      <c r="K84" s="43"/>
      <c r="L84" s="44">
        <v>190</v>
      </c>
      <c r="M84" s="57" t="str">
        <f>IF(ISBLANK(Tabela1[[#This Row],[Min]]),"NMin",IF(Tabela1[[#This Row],[Valor]]&lt;Tabela1[[#This Row],[Min]],Tabela1[[#This Row],[Valor]]-Tabela1[[#This Row],[Min]],"Normal"))</f>
        <v>NMin</v>
      </c>
      <c r="N84" s="57">
        <f>IF(ISBLANK(Tabela1[[#This Row],[Max]]),"NMax",IF(Tabela1[[#This Row],[Valor]]&gt;Tabela1[[#This Row],[Max]],Tabela1[[#This Row],[Valor]]-Tabela1[[#This Row],[Max]],"Normal"))</f>
        <v>27</v>
      </c>
    </row>
    <row r="85" spans="2:14" x14ac:dyDescent="0.35">
      <c r="B85" s="33" t="s">
        <v>431</v>
      </c>
      <c r="C85" s="33" t="s">
        <v>106</v>
      </c>
      <c r="D85" s="2" t="s">
        <v>144</v>
      </c>
      <c r="E85" s="2"/>
      <c r="F85" s="3" t="s">
        <v>143</v>
      </c>
      <c r="G85" s="55">
        <v>41291</v>
      </c>
      <c r="H85" s="50">
        <v>12</v>
      </c>
      <c r="I85" s="50" t="str" cm="1">
        <f t="array" ref="I8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85" s="50"/>
      <c r="K85" s="43"/>
      <c r="L85" s="44"/>
      <c r="M85" s="57" t="str">
        <f>IF(ISBLANK(Tabela1[[#This Row],[Min]]),"NMin",IF(Tabela1[[#This Row],[Valor]]&lt;Tabela1[[#This Row],[Min]],Tabela1[[#This Row],[Valor]]-Tabela1[[#This Row],[Min]],"Normal"))</f>
        <v>NMin</v>
      </c>
      <c r="N85" s="57" t="str">
        <f>IF(ISBLANK(Tabela1[[#This Row],[Max]]),"NMax",IF(Tabela1[[#This Row],[Valor]]&gt;Tabela1[[#This Row],[Max]],Tabela1[[#This Row],[Valor]]-Tabela1[[#This Row],[Max]],"Normal"))</f>
        <v>NMax</v>
      </c>
    </row>
    <row r="86" spans="2:14" x14ac:dyDescent="0.35">
      <c r="B86" s="33" t="s">
        <v>431</v>
      </c>
      <c r="C86" s="33" t="s">
        <v>90</v>
      </c>
      <c r="D86" s="2" t="s">
        <v>45</v>
      </c>
      <c r="E86" s="2" t="s">
        <v>68</v>
      </c>
      <c r="F86" s="3" t="s">
        <v>11</v>
      </c>
      <c r="G86" s="55">
        <v>44625</v>
      </c>
      <c r="H86" s="2" t="s">
        <v>56</v>
      </c>
      <c r="I86" s="43" t="str" cm="1">
        <f t="array" ref="I8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86" s="2"/>
      <c r="K86" s="2"/>
      <c r="L86" s="34"/>
      <c r="M86" s="57" t="str">
        <f>IF(ISBLANK(Tabela1[[#This Row],[Min]]),"NMin",IF(Tabela1[[#This Row],[Valor]]&lt;Tabela1[[#This Row],[Min]],Tabela1[[#This Row],[Valor]]-Tabela1[[#This Row],[Min]],"Normal"))</f>
        <v>NMin</v>
      </c>
      <c r="N86" s="57" t="str">
        <f>IF(ISBLANK(Tabela1[[#This Row],[Max]]),"NMax",IF(Tabela1[[#This Row],[Valor]]&gt;Tabela1[[#This Row],[Max]],Tabela1[[#This Row],[Valor]]-Tabela1[[#This Row],[Max]],"Normal"))</f>
        <v>NMax</v>
      </c>
    </row>
    <row r="87" spans="2:14" x14ac:dyDescent="0.35">
      <c r="B87" s="33" t="s">
        <v>431</v>
      </c>
      <c r="C87" s="33" t="s">
        <v>90</v>
      </c>
      <c r="D87" s="2" t="s">
        <v>50</v>
      </c>
      <c r="E87" s="2" t="s">
        <v>68</v>
      </c>
      <c r="F87" s="3" t="s">
        <v>11</v>
      </c>
      <c r="G87" s="55">
        <v>44625</v>
      </c>
      <c r="H87" s="2" t="s">
        <v>60</v>
      </c>
      <c r="I87" s="43" t="str" cm="1">
        <f t="array" ref="I8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87" s="2"/>
      <c r="K87" s="2"/>
      <c r="L87" s="34"/>
      <c r="M87" s="57" t="str">
        <f>IF(ISBLANK(Tabela1[[#This Row],[Min]]),"NMin",IF(Tabela1[[#This Row],[Valor]]&lt;Tabela1[[#This Row],[Min]],Tabela1[[#This Row],[Valor]]-Tabela1[[#This Row],[Min]],"Normal"))</f>
        <v>NMin</v>
      </c>
      <c r="N87" s="57" t="str">
        <f>IF(ISBLANK(Tabela1[[#This Row],[Max]]),"NMax",IF(Tabela1[[#This Row],[Valor]]&gt;Tabela1[[#This Row],[Max]],Tabela1[[#This Row],[Valor]]-Tabela1[[#This Row],[Max]],"Normal"))</f>
        <v>NMax</v>
      </c>
    </row>
    <row r="88" spans="2:14" x14ac:dyDescent="0.35">
      <c r="B88" s="33" t="s">
        <v>431</v>
      </c>
      <c r="C88" s="33" t="s">
        <v>90</v>
      </c>
      <c r="D88" s="2" t="s">
        <v>50</v>
      </c>
      <c r="E88" s="2" t="s">
        <v>123</v>
      </c>
      <c r="F88" s="3" t="s">
        <v>71</v>
      </c>
      <c r="G88" s="55">
        <v>44281</v>
      </c>
      <c r="H88" s="2" t="s">
        <v>33</v>
      </c>
      <c r="I88" s="43" t="str" cm="1">
        <f t="array" ref="I8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Positivo/Negativo</v>
      </c>
      <c r="J88" s="2"/>
      <c r="K88" s="2"/>
      <c r="L88" s="34"/>
      <c r="M88" s="57" t="str">
        <f>IF(ISBLANK(Tabela1[[#This Row],[Min]]),"NMin",IF(Tabela1[[#This Row],[Valor]]&lt;Tabela1[[#This Row],[Min]],Tabela1[[#This Row],[Valor]]-Tabela1[[#This Row],[Min]],"Normal"))</f>
        <v>NMin</v>
      </c>
      <c r="N88" s="57" t="str">
        <f>IF(ISBLANK(Tabela1[[#This Row],[Max]]),"NMax",IF(Tabela1[[#This Row],[Valor]]&gt;Tabela1[[#This Row],[Max]],Tabela1[[#This Row],[Valor]]-Tabela1[[#This Row],[Max]],"Normal"))</f>
        <v>NMax</v>
      </c>
    </row>
    <row r="89" spans="2:14" x14ac:dyDescent="0.35">
      <c r="B89" s="33" t="s">
        <v>431</v>
      </c>
      <c r="C89" s="33" t="s">
        <v>44</v>
      </c>
      <c r="D89" s="2" t="s">
        <v>12</v>
      </c>
      <c r="E89" s="2" t="s">
        <v>16</v>
      </c>
      <c r="F89" s="3" t="s">
        <v>143</v>
      </c>
      <c r="G89" s="55">
        <v>41291</v>
      </c>
      <c r="H89" s="43">
        <v>0.76</v>
      </c>
      <c r="I89" s="43" t="str" cm="1">
        <f t="array" ref="I8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89" s="43"/>
      <c r="K89" s="43">
        <v>0.66</v>
      </c>
      <c r="L89" s="44">
        <v>1.25</v>
      </c>
      <c r="M89" s="57" t="str">
        <f>IF(ISBLANK(Tabela1[[#This Row],[Min]]),"NMin",IF(Tabela1[[#This Row],[Valor]]&lt;Tabela1[[#This Row],[Min]],Tabela1[[#This Row],[Valor]]-Tabela1[[#This Row],[Min]],"Normal"))</f>
        <v>Normal</v>
      </c>
      <c r="N89" s="57" t="str">
        <f>IF(ISBLANK(Tabela1[[#This Row],[Max]]),"NMax",IF(Tabela1[[#This Row],[Valor]]&gt;Tabela1[[#This Row],[Max]],Tabela1[[#This Row],[Valor]]-Tabela1[[#This Row],[Max]],"Normal"))</f>
        <v>Normal</v>
      </c>
    </row>
    <row r="90" spans="2:14" x14ac:dyDescent="0.35">
      <c r="B90" s="33" t="s">
        <v>431</v>
      </c>
      <c r="C90" s="33" t="s">
        <v>44</v>
      </c>
      <c r="D90" s="2" t="s">
        <v>12</v>
      </c>
      <c r="E90" s="2" t="s">
        <v>16</v>
      </c>
      <c r="F90" s="3" t="s">
        <v>11</v>
      </c>
      <c r="G90" s="55">
        <v>43796</v>
      </c>
      <c r="H90" s="43">
        <v>0.82</v>
      </c>
      <c r="I90" s="43" t="str" cm="1">
        <f t="array" ref="I9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90" s="43"/>
      <c r="K90" s="43">
        <v>0.8</v>
      </c>
      <c r="L90" s="44">
        <v>1.3</v>
      </c>
      <c r="M90" s="57" t="str">
        <f>IF(ISBLANK(Tabela1[[#This Row],[Min]]),"NMin",IF(Tabela1[[#This Row],[Valor]]&lt;Tabela1[[#This Row],[Min]],Tabela1[[#This Row],[Valor]]-Tabela1[[#This Row],[Min]],"Normal"))</f>
        <v>Normal</v>
      </c>
      <c r="N90" s="57" t="str">
        <f>IF(ISBLANK(Tabela1[[#This Row],[Max]]),"NMax",IF(Tabela1[[#This Row],[Valor]]&gt;Tabela1[[#This Row],[Max]],Tabela1[[#This Row],[Valor]]-Tabela1[[#This Row],[Max]],"Normal"))</f>
        <v>Normal</v>
      </c>
    </row>
    <row r="91" spans="2:14" x14ac:dyDescent="0.35">
      <c r="B91" s="33" t="s">
        <v>431</v>
      </c>
      <c r="C91" s="33" t="s">
        <v>44</v>
      </c>
      <c r="D91" s="2" t="s">
        <v>12</v>
      </c>
      <c r="E91" s="2" t="s">
        <v>16</v>
      </c>
      <c r="F91" s="3" t="s">
        <v>11</v>
      </c>
      <c r="G91" s="55">
        <v>44966</v>
      </c>
      <c r="H91" s="43">
        <v>0.85</v>
      </c>
      <c r="I91" s="43" t="str" cm="1">
        <f t="array" ref="I9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91" s="43"/>
      <c r="K91" s="43">
        <v>0.6</v>
      </c>
      <c r="L91" s="44">
        <v>1.2</v>
      </c>
      <c r="M91" s="57" t="str">
        <f>IF(ISBLANK(Tabela1[[#This Row],[Min]]),"NMin",IF(Tabela1[[#This Row],[Valor]]&lt;Tabela1[[#This Row],[Min]],Tabela1[[#This Row],[Valor]]-Tabela1[[#This Row],[Min]],"Normal"))</f>
        <v>Normal</v>
      </c>
      <c r="N91" s="57" t="str">
        <f>IF(ISBLANK(Tabela1[[#This Row],[Max]]),"NMax",IF(Tabela1[[#This Row],[Valor]]&gt;Tabela1[[#This Row],[Max]],Tabela1[[#This Row],[Valor]]-Tabela1[[#This Row],[Max]],"Normal"))</f>
        <v>Normal</v>
      </c>
    </row>
    <row r="92" spans="2:14" x14ac:dyDescent="0.35">
      <c r="B92" s="33" t="s">
        <v>431</v>
      </c>
      <c r="C92" s="33" t="s">
        <v>44</v>
      </c>
      <c r="D92" s="2" t="s">
        <v>12</v>
      </c>
      <c r="E92" s="2"/>
      <c r="F92" s="3" t="s">
        <v>146</v>
      </c>
      <c r="G92" s="55">
        <v>39462</v>
      </c>
      <c r="H92" s="43">
        <v>0.9</v>
      </c>
      <c r="I92" s="43" t="str" cm="1">
        <f t="array" ref="I9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92" s="43"/>
      <c r="K92" s="43">
        <v>0.6</v>
      </c>
      <c r="L92" s="44">
        <v>1.4</v>
      </c>
      <c r="M92" s="57" t="str">
        <f>IF(ISBLANK(Tabela1[[#This Row],[Min]]),"NMin",IF(Tabela1[[#This Row],[Valor]]&lt;Tabela1[[#This Row],[Min]],Tabela1[[#This Row],[Valor]]-Tabela1[[#This Row],[Min]],"Normal"))</f>
        <v>Normal</v>
      </c>
      <c r="N92" s="57" t="str">
        <f>IF(ISBLANK(Tabela1[[#This Row],[Max]]),"NMax",IF(Tabela1[[#This Row],[Valor]]&gt;Tabela1[[#This Row],[Max]],Tabela1[[#This Row],[Valor]]-Tabela1[[#This Row],[Max]],"Normal"))</f>
        <v>Normal</v>
      </c>
    </row>
    <row r="93" spans="2:14" x14ac:dyDescent="0.35">
      <c r="B93" s="33" t="s">
        <v>431</v>
      </c>
      <c r="C93" s="33" t="s">
        <v>44</v>
      </c>
      <c r="D93" s="2" t="s">
        <v>12</v>
      </c>
      <c r="E93" s="2" t="s">
        <v>16</v>
      </c>
      <c r="F93" s="3" t="s">
        <v>11</v>
      </c>
      <c r="G93" s="55">
        <v>44625</v>
      </c>
      <c r="H93" s="43">
        <v>0.97</v>
      </c>
      <c r="I93" s="43" t="str" cm="1">
        <f t="array" ref="I9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93" s="43"/>
      <c r="K93" s="43">
        <v>0.6</v>
      </c>
      <c r="L93" s="44">
        <v>1.2</v>
      </c>
      <c r="M93" s="57" t="str">
        <f>IF(ISBLANK(Tabela1[[#This Row],[Min]]),"NMin",IF(Tabela1[[#This Row],[Valor]]&lt;Tabela1[[#This Row],[Min]],Tabela1[[#This Row],[Valor]]-Tabela1[[#This Row],[Min]],"Normal"))</f>
        <v>Normal</v>
      </c>
      <c r="N93" s="57" t="str">
        <f>IF(ISBLANK(Tabela1[[#This Row],[Max]]),"NMax",IF(Tabela1[[#This Row],[Valor]]&gt;Tabela1[[#This Row],[Max]],Tabela1[[#This Row],[Valor]]-Tabela1[[#This Row],[Max]],"Normal"))</f>
        <v>Normal</v>
      </c>
    </row>
    <row r="94" spans="2:14" x14ac:dyDescent="0.35">
      <c r="B94" s="33" t="s">
        <v>431</v>
      </c>
      <c r="C94" s="33" t="s">
        <v>44</v>
      </c>
      <c r="D94" s="2" t="s">
        <v>29</v>
      </c>
      <c r="E94" s="2" t="s">
        <v>28</v>
      </c>
      <c r="F94" s="3" t="s">
        <v>11</v>
      </c>
      <c r="G94" s="55">
        <v>45591</v>
      </c>
      <c r="H94" s="43">
        <v>25</v>
      </c>
      <c r="I94" s="43" t="str" cm="1">
        <f t="array" ref="I9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94" s="43"/>
      <c r="K94" s="43">
        <v>10</v>
      </c>
      <c r="L94" s="44">
        <v>49</v>
      </c>
      <c r="M94" s="57" t="str">
        <f>IF(ISBLANK(Tabela1[[#This Row],[Min]]),"NMin",IF(Tabela1[[#This Row],[Valor]]&lt;Tabela1[[#This Row],[Min]],Tabela1[[#This Row],[Valor]]-Tabela1[[#This Row],[Min]],"Normal"))</f>
        <v>Normal</v>
      </c>
      <c r="N94" s="57" t="str">
        <f>IF(ISBLANK(Tabela1[[#This Row],[Max]]),"NMax",IF(Tabela1[[#This Row],[Valor]]&gt;Tabela1[[#This Row],[Max]],Tabela1[[#This Row],[Valor]]-Tabela1[[#This Row],[Max]],"Normal"))</f>
        <v>Normal</v>
      </c>
    </row>
    <row r="95" spans="2:14" x14ac:dyDescent="0.35">
      <c r="B95" s="33" t="s">
        <v>431</v>
      </c>
      <c r="C95" s="33" t="s">
        <v>92</v>
      </c>
      <c r="D95" s="2" t="s">
        <v>74</v>
      </c>
      <c r="E95" s="2" t="s">
        <v>80</v>
      </c>
      <c r="F95" s="3" t="s">
        <v>71</v>
      </c>
      <c r="G95" s="55">
        <v>44285</v>
      </c>
      <c r="H95" s="43">
        <v>0.89</v>
      </c>
      <c r="I95" s="43" t="str" cm="1">
        <f t="array" ref="I9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95" s="43"/>
      <c r="K95" s="43">
        <v>0.8</v>
      </c>
      <c r="L95" s="44">
        <v>1.3</v>
      </c>
      <c r="M95" s="57" t="str">
        <f>IF(ISBLANK(Tabela1[[#This Row],[Min]]),"NMin",IF(Tabela1[[#This Row],[Valor]]&lt;Tabela1[[#This Row],[Min]],Tabela1[[#This Row],[Valor]]-Tabela1[[#This Row],[Min]],"Normal"))</f>
        <v>Normal</v>
      </c>
      <c r="N95" s="57" t="str">
        <f>IF(ISBLANK(Tabela1[[#This Row],[Max]]),"NMax",IF(Tabela1[[#This Row],[Valor]]&gt;Tabela1[[#This Row],[Max]],Tabela1[[#This Row],[Valor]]-Tabela1[[#This Row],[Max]],"Normal"))</f>
        <v>Normal</v>
      </c>
    </row>
    <row r="96" spans="2:14" x14ac:dyDescent="0.35">
      <c r="B96" s="33" t="s">
        <v>431</v>
      </c>
      <c r="C96" s="33" t="s">
        <v>115</v>
      </c>
      <c r="D96" s="2" t="s">
        <v>74</v>
      </c>
      <c r="E96" s="2" t="s">
        <v>79</v>
      </c>
      <c r="F96" s="3" t="s">
        <v>71</v>
      </c>
      <c r="G96" s="55">
        <v>44281</v>
      </c>
      <c r="H96" s="43">
        <v>0.95</v>
      </c>
      <c r="I96" s="43" t="str" cm="1">
        <f t="array" ref="I9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96" s="43"/>
      <c r="K96" s="43">
        <v>0.7</v>
      </c>
      <c r="L96" s="44">
        <v>1.3</v>
      </c>
      <c r="M96" s="57" t="str">
        <f>IF(ISBLANK(Tabela1[[#This Row],[Min]]),"NMin",IF(Tabela1[[#This Row],[Valor]]&lt;Tabela1[[#This Row],[Min]],Tabela1[[#This Row],[Valor]]-Tabela1[[#This Row],[Min]],"Normal"))</f>
        <v>Normal</v>
      </c>
      <c r="N96" s="57" t="str">
        <f>IF(ISBLANK(Tabela1[[#This Row],[Max]]),"NMax",IF(Tabela1[[#This Row],[Valor]]&gt;Tabela1[[#This Row],[Max]],Tabela1[[#This Row],[Valor]]-Tabela1[[#This Row],[Max]],"Normal"))</f>
        <v>Normal</v>
      </c>
    </row>
    <row r="97" spans="2:14" x14ac:dyDescent="0.35">
      <c r="B97" s="33" t="s">
        <v>431</v>
      </c>
      <c r="C97" s="33" t="s">
        <v>92</v>
      </c>
      <c r="D97" s="2" t="s">
        <v>75</v>
      </c>
      <c r="E97" s="2" t="s">
        <v>80</v>
      </c>
      <c r="F97" s="3" t="s">
        <v>71</v>
      </c>
      <c r="G97" s="55">
        <v>44285</v>
      </c>
      <c r="H97" s="43">
        <v>184.9</v>
      </c>
      <c r="I97" s="43" t="str" cm="1">
        <f t="array" ref="I9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97" s="43"/>
      <c r="K97" s="43"/>
      <c r="L97" s="44"/>
      <c r="M97" s="57" t="str">
        <f>IF(ISBLANK(Tabela1[[#This Row],[Min]]),"NMin",IF(Tabela1[[#This Row],[Valor]]&lt;Tabela1[[#This Row],[Min]],Tabela1[[#This Row],[Valor]]-Tabela1[[#This Row],[Min]],"Normal"))</f>
        <v>NMin</v>
      </c>
      <c r="N97" s="57" t="str">
        <f>IF(ISBLANK(Tabela1[[#This Row],[Max]]),"NMax",IF(Tabela1[[#This Row],[Valor]]&gt;Tabela1[[#This Row],[Max]],Tabela1[[#This Row],[Valor]]-Tabela1[[#This Row],[Max]],"Normal"))</f>
        <v>NMax</v>
      </c>
    </row>
    <row r="98" spans="2:14" x14ac:dyDescent="0.35">
      <c r="B98" s="33" t="s">
        <v>431</v>
      </c>
      <c r="C98" s="33" t="s">
        <v>90</v>
      </c>
      <c r="D98" s="2" t="s">
        <v>55</v>
      </c>
      <c r="E98" s="2" t="s">
        <v>69</v>
      </c>
      <c r="F98" s="3" t="s">
        <v>11</v>
      </c>
      <c r="G98" s="55">
        <v>44625</v>
      </c>
      <c r="H98" s="2" t="s">
        <v>61</v>
      </c>
      <c r="I98" s="43" t="str" cm="1">
        <f t="array" ref="I9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98" s="2"/>
      <c r="K98" s="2"/>
      <c r="L98" s="34"/>
      <c r="M98" s="57" t="str">
        <f>IF(ISBLANK(Tabela1[[#This Row],[Min]]),"NMin",IF(Tabela1[[#This Row],[Valor]]&lt;Tabela1[[#This Row],[Min]],Tabela1[[#This Row],[Valor]]-Tabela1[[#This Row],[Min]],"Normal"))</f>
        <v>NMin</v>
      </c>
      <c r="N98" s="57" t="str">
        <f>IF(ISBLANK(Tabela1[[#This Row],[Max]]),"NMax",IF(Tabela1[[#This Row],[Valor]]&gt;Tabela1[[#This Row],[Max]],Tabela1[[#This Row],[Valor]]-Tabela1[[#This Row],[Max]],"Normal"))</f>
        <v>NMax</v>
      </c>
    </row>
    <row r="99" spans="2:14" x14ac:dyDescent="0.35">
      <c r="B99" s="33" t="s">
        <v>431</v>
      </c>
      <c r="C99" s="33" t="s">
        <v>92</v>
      </c>
      <c r="D99" s="2" t="s">
        <v>77</v>
      </c>
      <c r="E99" s="2" t="s">
        <v>80</v>
      </c>
      <c r="F99" s="3" t="s">
        <v>71</v>
      </c>
      <c r="G99" s="55">
        <v>44285</v>
      </c>
      <c r="H99" s="43">
        <v>0.8</v>
      </c>
      <c r="I99" s="43" t="str" cm="1">
        <f t="array" ref="I9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99" s="43"/>
      <c r="K99" s="43"/>
      <c r="L99" s="44"/>
      <c r="M99" s="57" t="str">
        <f>IF(ISBLANK(Tabela1[[#This Row],[Min]]),"NMin",IF(Tabela1[[#This Row],[Valor]]&lt;Tabela1[[#This Row],[Min]],Tabela1[[#This Row],[Valor]]-Tabela1[[#This Row],[Min]],"Normal"))</f>
        <v>NMin</v>
      </c>
      <c r="N99" s="57" t="str">
        <f>IF(ISBLANK(Tabela1[[#This Row],[Max]]),"NMax",IF(Tabela1[[#This Row],[Valor]]&gt;Tabela1[[#This Row],[Max]],Tabela1[[#This Row],[Valor]]-Tabela1[[#This Row],[Max]],"Normal"))</f>
        <v>NMax</v>
      </c>
    </row>
    <row r="100" spans="2:14" x14ac:dyDescent="0.35">
      <c r="B100" s="33" t="s">
        <v>431</v>
      </c>
      <c r="C100" s="33" t="s">
        <v>90</v>
      </c>
      <c r="D100" s="2" t="s">
        <v>48</v>
      </c>
      <c r="E100" s="2" t="s">
        <v>123</v>
      </c>
      <c r="F100" s="3" t="s">
        <v>71</v>
      </c>
      <c r="G100" s="55">
        <v>44281</v>
      </c>
      <c r="H100" s="43">
        <v>1.0249999999999999</v>
      </c>
      <c r="I100" s="43" t="str" cm="1">
        <f t="array" ref="I10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00" s="43"/>
      <c r="K100" s="43">
        <v>1.01</v>
      </c>
      <c r="L100" s="44">
        <v>1.0249999999999999</v>
      </c>
      <c r="M100" s="57" t="str">
        <f>IF(ISBLANK(Tabela1[[#This Row],[Min]]),"NMin",IF(Tabela1[[#This Row],[Valor]]&lt;Tabela1[[#This Row],[Min]],Tabela1[[#This Row],[Valor]]-Tabela1[[#This Row],[Min]],"Normal"))</f>
        <v>Normal</v>
      </c>
      <c r="N100" s="57" t="str">
        <f>IF(ISBLANK(Tabela1[[#This Row],[Max]]),"NMax",IF(Tabela1[[#This Row],[Valor]]&gt;Tabela1[[#This Row],[Max]],Tabela1[[#This Row],[Valor]]-Tabela1[[#This Row],[Max]],"Normal"))</f>
        <v>Normal</v>
      </c>
    </row>
    <row r="101" spans="2:14" x14ac:dyDescent="0.35">
      <c r="B101" s="33" t="s">
        <v>431</v>
      </c>
      <c r="C101" s="33" t="s">
        <v>90</v>
      </c>
      <c r="D101" s="2" t="s">
        <v>48</v>
      </c>
      <c r="E101" s="2" t="s">
        <v>68</v>
      </c>
      <c r="F101" s="3" t="s">
        <v>11</v>
      </c>
      <c r="G101" s="55">
        <v>44625</v>
      </c>
      <c r="H101" s="43">
        <v>1.026</v>
      </c>
      <c r="I101" s="43" t="str" cm="1">
        <f t="array" ref="I10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01" s="43"/>
      <c r="K101" s="43">
        <v>1.002</v>
      </c>
      <c r="L101" s="44">
        <v>1.03</v>
      </c>
      <c r="M101" s="57" t="str">
        <f>IF(ISBLANK(Tabela1[[#This Row],[Min]]),"NMin",IF(Tabela1[[#This Row],[Valor]]&lt;Tabela1[[#This Row],[Min]],Tabela1[[#This Row],[Valor]]-Tabela1[[#This Row],[Min]],"Normal"))</f>
        <v>Normal</v>
      </c>
      <c r="N101" s="57" t="str">
        <f>IF(ISBLANK(Tabela1[[#This Row],[Max]]),"NMax",IF(Tabela1[[#This Row],[Valor]]&gt;Tabela1[[#This Row],[Max]],Tabela1[[#This Row],[Valor]]-Tabela1[[#This Row],[Max]],"Normal"))</f>
        <v>Normal</v>
      </c>
    </row>
    <row r="102" spans="2:14" x14ac:dyDescent="0.35">
      <c r="B102" s="33" t="s">
        <v>431</v>
      </c>
      <c r="C102" s="33" t="s">
        <v>90</v>
      </c>
      <c r="D102" s="2" t="s">
        <v>48</v>
      </c>
      <c r="E102" s="2"/>
      <c r="F102" s="3" t="s">
        <v>146</v>
      </c>
      <c r="G102" s="55">
        <v>39462</v>
      </c>
      <c r="H102" s="43">
        <v>1.032</v>
      </c>
      <c r="I102" s="43" t="str" cm="1">
        <f t="array" ref="I10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102" s="43"/>
      <c r="K102" s="43"/>
      <c r="L102" s="44"/>
      <c r="M102" s="57" t="str">
        <f>IF(ISBLANK(Tabela1[[#This Row],[Min]]),"NMin",IF(Tabela1[[#This Row],[Valor]]&lt;Tabela1[[#This Row],[Min]],Tabela1[[#This Row],[Valor]]-Tabela1[[#This Row],[Min]],"Normal"))</f>
        <v>NMin</v>
      </c>
      <c r="N102" s="57" t="str">
        <f>IF(ISBLANK(Tabela1[[#This Row],[Max]]),"NMax",IF(Tabela1[[#This Row],[Valor]]&gt;Tabela1[[#This Row],[Max]],Tabela1[[#This Row],[Valor]]-Tabela1[[#This Row],[Max]],"Normal"))</f>
        <v>NMax</v>
      </c>
    </row>
    <row r="103" spans="2:14" x14ac:dyDescent="0.35">
      <c r="B103" s="33" t="s">
        <v>431</v>
      </c>
      <c r="C103" s="33" t="s">
        <v>97</v>
      </c>
      <c r="D103" s="2" t="s">
        <v>100</v>
      </c>
      <c r="E103" s="2"/>
      <c r="F103" s="3" t="s">
        <v>11</v>
      </c>
      <c r="G103" s="55">
        <v>45591</v>
      </c>
      <c r="H103" s="2">
        <v>0.05</v>
      </c>
      <c r="I103" s="43" t="str" cm="1">
        <f t="array" ref="I10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03" s="2"/>
      <c r="K103" s="43">
        <v>0.01</v>
      </c>
      <c r="L103" s="44">
        <v>0.08</v>
      </c>
      <c r="M103" s="57" t="str">
        <f>IF(ISBLANK(Tabela1[[#This Row],[Min]]),"NMin",IF(Tabela1[[#This Row],[Valor]]&lt;Tabela1[[#This Row],[Min]],Tabela1[[#This Row],[Valor]]-Tabela1[[#This Row],[Min]],"Normal"))</f>
        <v>Normal</v>
      </c>
      <c r="N103" s="57" t="str">
        <f>IF(ISBLANK(Tabela1[[#This Row],[Max]]),"NMax",IF(Tabela1[[#This Row],[Valor]]&gt;Tabela1[[#This Row],[Max]],Tabela1[[#This Row],[Valor]]-Tabela1[[#This Row],[Max]],"Normal"))</f>
        <v>Normal</v>
      </c>
    </row>
    <row r="104" spans="2:14" x14ac:dyDescent="0.35">
      <c r="B104" s="33" t="s">
        <v>431</v>
      </c>
      <c r="C104" s="33" t="s">
        <v>44</v>
      </c>
      <c r="D104" s="2" t="s">
        <v>186</v>
      </c>
      <c r="E104" s="2"/>
      <c r="F104" s="3" t="s">
        <v>146</v>
      </c>
      <c r="G104" s="55">
        <v>39462</v>
      </c>
      <c r="H104" s="43">
        <v>129</v>
      </c>
      <c r="I104" s="43" t="str" cm="1">
        <f t="array" ref="I10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04" s="43"/>
      <c r="K104" s="43">
        <v>125</v>
      </c>
      <c r="L104" s="44">
        <v>243</v>
      </c>
      <c r="M104" s="57" t="str">
        <f>IF(ISBLANK(Tabela1[[#This Row],[Min]]),"NMin",IF(Tabela1[[#This Row],[Valor]]&lt;Tabela1[[#This Row],[Min]],Tabela1[[#This Row],[Valor]]-Tabela1[[#This Row],[Min]],"Normal"))</f>
        <v>Normal</v>
      </c>
      <c r="N104" s="57" t="str">
        <f>IF(ISBLANK(Tabela1[[#This Row],[Max]]),"NMax",IF(Tabela1[[#This Row],[Valor]]&gt;Tabela1[[#This Row],[Max]],Tabela1[[#This Row],[Valor]]-Tabela1[[#This Row],[Max]],"Normal"))</f>
        <v>Normal</v>
      </c>
    </row>
    <row r="105" spans="2:14" x14ac:dyDescent="0.35">
      <c r="B105" s="33" t="s">
        <v>431</v>
      </c>
      <c r="C105" s="33" t="s">
        <v>93</v>
      </c>
      <c r="D105" s="2" t="s">
        <v>83</v>
      </c>
      <c r="E105" s="2" t="s">
        <v>85</v>
      </c>
      <c r="F105" s="3" t="s">
        <v>71</v>
      </c>
      <c r="G105" s="55">
        <v>44285</v>
      </c>
      <c r="H105" s="43">
        <v>246</v>
      </c>
      <c r="I105" s="43" t="str" cm="1">
        <f t="array" ref="I10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05" s="43"/>
      <c r="K105" s="43"/>
      <c r="L105" s="44">
        <v>390</v>
      </c>
      <c r="M105" s="57" t="str">
        <f>IF(ISBLANK(Tabela1[[#This Row],[Min]]),"NMin",IF(Tabela1[[#This Row],[Valor]]&lt;Tabela1[[#This Row],[Min]],Tabela1[[#This Row],[Valor]]-Tabela1[[#This Row],[Min]],"Normal"))</f>
        <v>NMin</v>
      </c>
      <c r="N105" s="57" t="str">
        <f>IF(ISBLANK(Tabela1[[#This Row],[Max]]),"NMax",IF(Tabela1[[#This Row],[Valor]]&gt;Tabela1[[#This Row],[Max]],Tabela1[[#This Row],[Valor]]-Tabela1[[#This Row],[Max]],"Normal"))</f>
        <v>Normal</v>
      </c>
    </row>
    <row r="106" spans="2:14" x14ac:dyDescent="0.35">
      <c r="B106" s="33" t="s">
        <v>431</v>
      </c>
      <c r="C106" s="33" t="s">
        <v>97</v>
      </c>
      <c r="D106" s="2" t="s">
        <v>128</v>
      </c>
      <c r="E106" s="2"/>
      <c r="F106" s="3" t="s">
        <v>11</v>
      </c>
      <c r="G106" s="55">
        <v>45591</v>
      </c>
      <c r="H106" s="4">
        <v>1.2E-2</v>
      </c>
      <c r="I106" s="4" t="str" cm="1">
        <f t="array" ref="I10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06" s="61" t="s">
        <v>363</v>
      </c>
      <c r="K106" s="49">
        <v>0</v>
      </c>
      <c r="L106" s="46">
        <v>0.02</v>
      </c>
      <c r="M106" s="58" t="str">
        <f>IF(ISBLANK(Tabela1[[#This Row],[Min]]),"NMin",IF(Tabela1[[#This Row],[Valor]]&lt;Tabela1[[#This Row],[Min]],Tabela1[[#This Row],[Valor]]-Tabela1[[#This Row],[Min]],"Normal"))</f>
        <v>Normal</v>
      </c>
      <c r="N106" s="57" t="str">
        <f>IF(ISBLANK(Tabela1[[#This Row],[Max]]),"NMax",IF(Tabela1[[#This Row],[Valor]]&gt;Tabela1[[#This Row],[Max]],Tabela1[[#This Row],[Valor]]-Tabela1[[#This Row],[Max]],"Normal"))</f>
        <v>Normal</v>
      </c>
    </row>
    <row r="107" spans="2:14" x14ac:dyDescent="0.35">
      <c r="B107" s="33" t="s">
        <v>431</v>
      </c>
      <c r="C107" s="33" t="s">
        <v>97</v>
      </c>
      <c r="D107" s="2" t="s">
        <v>127</v>
      </c>
      <c r="E107" s="2"/>
      <c r="F107" s="3" t="s">
        <v>11</v>
      </c>
      <c r="G107" s="55">
        <v>43796</v>
      </c>
      <c r="H107" s="49">
        <v>0</v>
      </c>
      <c r="I107" s="49" t="str" cm="1">
        <f t="array" ref="I10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107" s="61" t="s">
        <v>363</v>
      </c>
      <c r="K107" s="49">
        <v>0.01</v>
      </c>
      <c r="L107" s="46">
        <v>0.06</v>
      </c>
      <c r="M107" s="58">
        <f>IF(ISBLANK(Tabela1[[#This Row],[Min]]),"NMin",IF(Tabela1[[#This Row],[Valor]]&lt;Tabela1[[#This Row],[Min]],Tabela1[[#This Row],[Valor]]-Tabela1[[#This Row],[Min]],"Normal"))</f>
        <v>-0.01</v>
      </c>
      <c r="N107" s="57" t="str">
        <f>IF(ISBLANK(Tabela1[[#This Row],[Max]]),"NMax",IF(Tabela1[[#This Row],[Valor]]&gt;Tabela1[[#This Row],[Max]],Tabela1[[#This Row],[Valor]]-Tabela1[[#This Row],[Max]],"Normal"))</f>
        <v>Normal</v>
      </c>
    </row>
    <row r="108" spans="2:14" x14ac:dyDescent="0.35">
      <c r="B108" s="33" t="s">
        <v>431</v>
      </c>
      <c r="C108" s="33" t="s">
        <v>97</v>
      </c>
      <c r="D108" s="2" t="s">
        <v>127</v>
      </c>
      <c r="E108" s="2" t="s">
        <v>96</v>
      </c>
      <c r="F108" s="3" t="s">
        <v>71</v>
      </c>
      <c r="G108" s="55">
        <v>44281</v>
      </c>
      <c r="H108" s="49">
        <v>2.5000000000000001E-2</v>
      </c>
      <c r="I108" s="49" t="str" cm="1">
        <f t="array" ref="I10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08" s="61" t="s">
        <v>363</v>
      </c>
      <c r="K108" s="49">
        <v>0.01</v>
      </c>
      <c r="L108" s="46">
        <v>0.06</v>
      </c>
      <c r="M108" s="58" t="str">
        <f>IF(ISBLANK(Tabela1[[#This Row],[Min]]),"NMin",IF(Tabela1[[#This Row],[Valor]]&lt;Tabela1[[#This Row],[Min]],Tabela1[[#This Row],[Valor]]-Tabela1[[#This Row],[Min]],"Normal"))</f>
        <v>Normal</v>
      </c>
      <c r="N108" s="57" t="str">
        <f>IF(ISBLANK(Tabela1[[#This Row],[Max]]),"NMax",IF(Tabela1[[#This Row],[Valor]]&gt;Tabela1[[#This Row],[Max]],Tabela1[[#This Row],[Valor]]-Tabela1[[#This Row],[Max]],"Normal"))</f>
        <v>Normal</v>
      </c>
    </row>
    <row r="109" spans="2:14" x14ac:dyDescent="0.35">
      <c r="B109" s="33" t="s">
        <v>431</v>
      </c>
      <c r="C109" s="33" t="s">
        <v>97</v>
      </c>
      <c r="D109" s="2" t="s">
        <v>99</v>
      </c>
      <c r="E109" s="2"/>
      <c r="F109" s="3" t="s">
        <v>11</v>
      </c>
      <c r="G109" s="55">
        <v>45591</v>
      </c>
      <c r="H109" s="43">
        <v>0</v>
      </c>
      <c r="I109" s="43" t="str" cm="1">
        <f t="array" ref="I10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109" s="43"/>
      <c r="K109" s="43">
        <v>0.03</v>
      </c>
      <c r="L109" s="44">
        <v>0.48</v>
      </c>
      <c r="M109" s="57">
        <f>IF(ISBLANK(Tabela1[[#This Row],[Min]]),"NMin",IF(Tabela1[[#This Row],[Valor]]&lt;Tabela1[[#This Row],[Min]],Tabela1[[#This Row],[Valor]]-Tabela1[[#This Row],[Min]],"Normal"))</f>
        <v>-0.03</v>
      </c>
      <c r="N109" s="57" t="str">
        <f>IF(ISBLANK(Tabela1[[#This Row],[Max]]),"NMax",IF(Tabela1[[#This Row],[Valor]]&gt;Tabela1[[#This Row],[Max]],Tabela1[[#This Row],[Valor]]-Tabela1[[#This Row],[Max]],"Normal"))</f>
        <v>Normal</v>
      </c>
    </row>
    <row r="110" spans="2:14" x14ac:dyDescent="0.35">
      <c r="B110" s="33" t="s">
        <v>431</v>
      </c>
      <c r="C110" s="33" t="s">
        <v>97</v>
      </c>
      <c r="D110" s="2" t="s">
        <v>127</v>
      </c>
      <c r="E110" s="2"/>
      <c r="F110" s="3" t="s">
        <v>11</v>
      </c>
      <c r="G110" s="55">
        <v>45591</v>
      </c>
      <c r="H110" s="49">
        <v>0</v>
      </c>
      <c r="I110" s="49" t="str" cm="1">
        <f t="array" ref="I11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110" s="61" t="s">
        <v>363</v>
      </c>
      <c r="K110" s="49">
        <v>0.01</v>
      </c>
      <c r="L110" s="46">
        <v>0.06</v>
      </c>
      <c r="M110" s="58">
        <f>IF(ISBLANK(Tabela1[[#This Row],[Min]]),"NMin",IF(Tabela1[[#This Row],[Valor]]&lt;Tabela1[[#This Row],[Min]],Tabela1[[#This Row],[Valor]]-Tabela1[[#This Row],[Min]],"Normal"))</f>
        <v>-0.01</v>
      </c>
      <c r="N110" s="57" t="str">
        <f>IF(ISBLANK(Tabela1[[#This Row],[Max]]),"NMax",IF(Tabela1[[#This Row],[Valor]]&gt;Tabela1[[#This Row],[Max]],Tabela1[[#This Row],[Valor]]-Tabela1[[#This Row],[Max]],"Normal"))</f>
        <v>Normal</v>
      </c>
    </row>
    <row r="111" spans="2:14" x14ac:dyDescent="0.35">
      <c r="B111" s="33" t="s">
        <v>431</v>
      </c>
      <c r="C111" s="33" t="s">
        <v>44</v>
      </c>
      <c r="D111" s="2" t="s">
        <v>152</v>
      </c>
      <c r="E111" s="2" t="s">
        <v>187</v>
      </c>
      <c r="F111" s="3" t="s">
        <v>11</v>
      </c>
      <c r="G111" s="55">
        <v>45591</v>
      </c>
      <c r="H111" s="47">
        <v>1</v>
      </c>
      <c r="I111" s="47" t="str" cm="1">
        <f t="array" ref="I11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11" s="47"/>
      <c r="K111" s="47">
        <v>0.3</v>
      </c>
      <c r="L111" s="48">
        <v>1.2</v>
      </c>
      <c r="M111" s="57" t="str">
        <f>IF(ISBLANK(Tabela1[[#This Row],[Min]]),"NMin",IF(Tabela1[[#This Row],[Valor]]&lt;Tabela1[[#This Row],[Min]],Tabela1[[#This Row],[Valor]]-Tabela1[[#This Row],[Min]],"Normal"))</f>
        <v>Normal</v>
      </c>
      <c r="N111" s="57" t="str">
        <f>IF(ISBLANK(Tabela1[[#This Row],[Max]]),"NMax",IF(Tabela1[[#This Row],[Valor]]&gt;Tabela1[[#This Row],[Max]],Tabela1[[#This Row],[Valor]]-Tabela1[[#This Row],[Max]],"Normal"))</f>
        <v>Normal</v>
      </c>
    </row>
    <row r="112" spans="2:14" x14ac:dyDescent="0.35">
      <c r="B112" s="33" t="s">
        <v>431</v>
      </c>
      <c r="C112" s="33" t="s">
        <v>95</v>
      </c>
      <c r="D112" s="2" t="s">
        <v>94</v>
      </c>
      <c r="E112" s="2"/>
      <c r="F112" s="3" t="s">
        <v>11</v>
      </c>
      <c r="G112" s="55">
        <v>43796</v>
      </c>
      <c r="H112" s="43">
        <v>4.8</v>
      </c>
      <c r="I112" s="43" t="str" cm="1">
        <f t="array" ref="I11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12" s="43"/>
      <c r="K112" s="43">
        <v>4.3499999999999996</v>
      </c>
      <c r="L112" s="44">
        <v>5.65</v>
      </c>
      <c r="M112" s="57" t="str">
        <f>IF(ISBLANK(Tabela1[[#This Row],[Min]]),"NMin",IF(Tabela1[[#This Row],[Valor]]&lt;Tabela1[[#This Row],[Min]],Tabela1[[#This Row],[Valor]]-Tabela1[[#This Row],[Min]],"Normal"))</f>
        <v>Normal</v>
      </c>
      <c r="N112" s="57" t="str">
        <f>IF(ISBLANK(Tabela1[[#This Row],[Max]]),"NMax",IF(Tabela1[[#This Row],[Valor]]&gt;Tabela1[[#This Row],[Max]],Tabela1[[#This Row],[Valor]]-Tabela1[[#This Row],[Max]],"Normal"))</f>
        <v>Normal</v>
      </c>
    </row>
    <row r="113" spans="2:14" x14ac:dyDescent="0.35">
      <c r="B113" s="33" t="s">
        <v>431</v>
      </c>
      <c r="C113" s="33" t="s">
        <v>95</v>
      </c>
      <c r="D113" s="2" t="s">
        <v>94</v>
      </c>
      <c r="E113" s="2"/>
      <c r="F113" s="3" t="s">
        <v>146</v>
      </c>
      <c r="G113" s="55">
        <v>43115</v>
      </c>
      <c r="H113" s="43">
        <v>4.93</v>
      </c>
      <c r="I113" s="43" t="str" cm="1">
        <f t="array" ref="I11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13" s="43"/>
      <c r="K113" s="43">
        <v>4.5</v>
      </c>
      <c r="L113" s="44">
        <v>5.9</v>
      </c>
      <c r="M113" s="57" t="str">
        <f>IF(ISBLANK(Tabela1[[#This Row],[Min]]),"NMin",IF(Tabela1[[#This Row],[Valor]]&lt;Tabela1[[#This Row],[Min]],Tabela1[[#This Row],[Valor]]-Tabela1[[#This Row],[Min]],"Normal"))</f>
        <v>Normal</v>
      </c>
      <c r="N113" s="57" t="str">
        <f>IF(ISBLANK(Tabela1[[#This Row],[Max]]),"NMax",IF(Tabela1[[#This Row],[Valor]]&gt;Tabela1[[#This Row],[Max]],Tabela1[[#This Row],[Valor]]-Tabela1[[#This Row],[Max]],"Normal"))</f>
        <v>Normal</v>
      </c>
    </row>
    <row r="114" spans="2:14" x14ac:dyDescent="0.35">
      <c r="B114" s="33" t="s">
        <v>431</v>
      </c>
      <c r="C114" s="33" t="s">
        <v>95</v>
      </c>
      <c r="D114" s="2" t="s">
        <v>94</v>
      </c>
      <c r="E114" s="2" t="s">
        <v>96</v>
      </c>
      <c r="F114" s="3" t="s">
        <v>71</v>
      </c>
      <c r="G114" s="55">
        <v>44281</v>
      </c>
      <c r="H114" s="43">
        <v>5.17</v>
      </c>
      <c r="I114" s="43" t="str" cm="1">
        <f t="array" ref="I11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14" s="43"/>
      <c r="K114" s="43">
        <v>4.5</v>
      </c>
      <c r="L114" s="44">
        <v>5.5</v>
      </c>
      <c r="M114" s="57" t="str">
        <f>IF(ISBLANK(Tabela1[[#This Row],[Min]]),"NMin",IF(Tabela1[[#This Row],[Valor]]&lt;Tabela1[[#This Row],[Min]],Tabela1[[#This Row],[Valor]]-Tabela1[[#This Row],[Min]],"Normal"))</f>
        <v>Normal</v>
      </c>
      <c r="N114" s="57" t="str">
        <f>IF(ISBLANK(Tabela1[[#This Row],[Max]]),"NMax",IF(Tabela1[[#This Row],[Valor]]&gt;Tabela1[[#This Row],[Max]],Tabela1[[#This Row],[Valor]]-Tabela1[[#This Row],[Max]],"Normal"))</f>
        <v>Normal</v>
      </c>
    </row>
    <row r="115" spans="2:14" x14ac:dyDescent="0.35">
      <c r="B115" s="33" t="s">
        <v>431</v>
      </c>
      <c r="C115" s="33" t="s">
        <v>95</v>
      </c>
      <c r="D115" s="2" t="s">
        <v>125</v>
      </c>
      <c r="E115" s="2"/>
      <c r="F115" s="3" t="s">
        <v>11</v>
      </c>
      <c r="G115" s="55">
        <v>45591</v>
      </c>
      <c r="H115" s="4">
        <v>0.34899999999999998</v>
      </c>
      <c r="I115" s="4" t="str" cm="1">
        <f t="array" ref="I11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15" s="61" t="s">
        <v>363</v>
      </c>
      <c r="K115" s="49">
        <v>0.32</v>
      </c>
      <c r="L115" s="46">
        <v>0.36499999999999999</v>
      </c>
      <c r="M115" s="58" t="str">
        <f>IF(ISBLANK(Tabela1[[#This Row],[Min]]),"NMin",IF(Tabela1[[#This Row],[Valor]]&lt;Tabela1[[#This Row],[Min]],Tabela1[[#This Row],[Valor]]-Tabela1[[#This Row],[Min]],"Normal"))</f>
        <v>Normal</v>
      </c>
      <c r="N115" s="57" t="str">
        <f>IF(ISBLANK(Tabela1[[#This Row],[Max]]),"NMax",IF(Tabela1[[#This Row],[Valor]]&gt;Tabela1[[#This Row],[Max]],Tabela1[[#This Row],[Valor]]-Tabela1[[#This Row],[Max]],"Normal"))</f>
        <v>Normal</v>
      </c>
    </row>
    <row r="116" spans="2:14" x14ac:dyDescent="0.35">
      <c r="B116" s="33" t="s">
        <v>431</v>
      </c>
      <c r="C116" s="33" t="s">
        <v>90</v>
      </c>
      <c r="D116" s="2" t="s">
        <v>63</v>
      </c>
      <c r="E116" s="2" t="s">
        <v>69</v>
      </c>
      <c r="F116" s="3" t="s">
        <v>11</v>
      </c>
      <c r="G116" s="55">
        <v>44625</v>
      </c>
      <c r="H116" s="43">
        <v>3</v>
      </c>
      <c r="I116" s="43" t="str" cm="1">
        <f t="array" ref="I11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116" s="43"/>
      <c r="K116" s="43"/>
      <c r="L116" s="44"/>
      <c r="M116" s="57" t="str">
        <f>IF(ISBLANK(Tabela1[[#This Row],[Min]]),"NMin",IF(Tabela1[[#This Row],[Valor]]&lt;Tabela1[[#This Row],[Min]],Tabela1[[#This Row],[Valor]]-Tabela1[[#This Row],[Min]],"Normal"))</f>
        <v>NMin</v>
      </c>
      <c r="N116" s="57" t="str">
        <f>IF(ISBLANK(Tabela1[[#This Row],[Max]]),"NMax",IF(Tabela1[[#This Row],[Valor]]&gt;Tabela1[[#This Row],[Max]],Tabela1[[#This Row],[Valor]]-Tabela1[[#This Row],[Max]],"Normal"))</f>
        <v>NMax</v>
      </c>
    </row>
    <row r="117" spans="2:14" x14ac:dyDescent="0.35">
      <c r="B117" s="33" t="s">
        <v>431</v>
      </c>
      <c r="C117" s="33" t="s">
        <v>90</v>
      </c>
      <c r="D117" s="2" t="s">
        <v>66</v>
      </c>
      <c r="E117" s="2" t="s">
        <v>69</v>
      </c>
      <c r="F117" s="3" t="s">
        <v>11</v>
      </c>
      <c r="G117" s="55">
        <v>44625</v>
      </c>
      <c r="H117" s="43">
        <v>15</v>
      </c>
      <c r="I117" s="43" t="str" cm="1">
        <f t="array" ref="I11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17" s="43"/>
      <c r="K117" s="43"/>
      <c r="L117" s="44">
        <v>15</v>
      </c>
      <c r="M117" s="57" t="str">
        <f>IF(ISBLANK(Tabela1[[#This Row],[Min]]),"NMin",IF(Tabela1[[#This Row],[Valor]]&lt;Tabela1[[#This Row],[Min]],Tabela1[[#This Row],[Valor]]-Tabela1[[#This Row],[Min]],"Normal"))</f>
        <v>NMin</v>
      </c>
      <c r="N117" s="57" t="str">
        <f>IF(ISBLANK(Tabela1[[#This Row],[Max]]),"NMax",IF(Tabela1[[#This Row],[Valor]]&gt;Tabela1[[#This Row],[Max]],Tabela1[[#This Row],[Valor]]-Tabela1[[#This Row],[Max]],"Normal"))</f>
        <v>Normal</v>
      </c>
    </row>
    <row r="118" spans="2:14" x14ac:dyDescent="0.35">
      <c r="B118" s="33" t="s">
        <v>431</v>
      </c>
      <c r="C118" s="33" t="s">
        <v>44</v>
      </c>
      <c r="D118" s="2" t="s">
        <v>40</v>
      </c>
      <c r="E118" s="2"/>
      <c r="F118" s="3" t="s">
        <v>143</v>
      </c>
      <c r="G118" s="55">
        <v>41291</v>
      </c>
      <c r="H118" s="43">
        <v>12.1</v>
      </c>
      <c r="I118" s="43" t="str" cm="1">
        <f t="array" ref="I11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118" s="43"/>
      <c r="K118" s="43">
        <v>15</v>
      </c>
      <c r="L118" s="44">
        <v>40</v>
      </c>
      <c r="M118" s="57">
        <f>IF(ISBLANK(Tabela1[[#This Row],[Min]]),"NMin",IF(Tabela1[[#This Row],[Valor]]&lt;Tabela1[[#This Row],[Min]],Tabela1[[#This Row],[Valor]]-Tabela1[[#This Row],[Min]],"Normal"))</f>
        <v>-2.9000000000000004</v>
      </c>
      <c r="N118" s="57" t="str">
        <f>IF(ISBLANK(Tabela1[[#This Row],[Max]]),"NMax",IF(Tabela1[[#This Row],[Valor]]&gt;Tabela1[[#This Row],[Max]],Tabela1[[#This Row],[Valor]]-Tabela1[[#This Row],[Max]],"Normal"))</f>
        <v>Normal</v>
      </c>
    </row>
    <row r="119" spans="2:14" x14ac:dyDescent="0.35">
      <c r="B119" s="33" t="s">
        <v>431</v>
      </c>
      <c r="C119" s="33" t="s">
        <v>44</v>
      </c>
      <c r="D119" s="2" t="s">
        <v>40</v>
      </c>
      <c r="E119" s="2" t="s">
        <v>41</v>
      </c>
      <c r="F119" s="3" t="s">
        <v>11</v>
      </c>
      <c r="G119" s="55">
        <v>44625</v>
      </c>
      <c r="H119" s="43">
        <v>13.6</v>
      </c>
      <c r="I119" s="43" t="str" cm="1">
        <f t="array" ref="I11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119" s="43"/>
      <c r="K119" s="43">
        <v>15</v>
      </c>
      <c r="L119" s="44">
        <v>40</v>
      </c>
      <c r="M119" s="57">
        <f>IF(ISBLANK(Tabela1[[#This Row],[Min]]),"NMin",IF(Tabela1[[#This Row],[Valor]]&lt;Tabela1[[#This Row],[Min]],Tabela1[[#This Row],[Valor]]-Tabela1[[#This Row],[Min]],"Normal"))</f>
        <v>-1.4000000000000004</v>
      </c>
      <c r="N119" s="57" t="str">
        <f>IF(ISBLANK(Tabela1[[#This Row],[Max]]),"NMax",IF(Tabela1[[#This Row],[Valor]]&gt;Tabela1[[#This Row],[Max]],Tabela1[[#This Row],[Valor]]-Tabela1[[#This Row],[Max]],"Normal"))</f>
        <v>Normal</v>
      </c>
    </row>
    <row r="120" spans="2:14" x14ac:dyDescent="0.35">
      <c r="B120" s="33" t="s">
        <v>431</v>
      </c>
      <c r="C120" s="33" t="s">
        <v>44</v>
      </c>
      <c r="D120" s="2" t="s">
        <v>40</v>
      </c>
      <c r="E120" s="2"/>
      <c r="F120" s="3" t="s">
        <v>142</v>
      </c>
      <c r="G120" s="55">
        <v>42478</v>
      </c>
      <c r="H120" s="43">
        <v>19</v>
      </c>
      <c r="I120" s="43" t="str" cm="1">
        <f t="array" ref="I12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20" s="43"/>
      <c r="K120" s="43">
        <v>2</v>
      </c>
      <c r="L120" s="44">
        <v>40</v>
      </c>
      <c r="M120" s="57" t="str">
        <f>IF(ISBLANK(Tabela1[[#This Row],[Min]]),"NMin",IF(Tabela1[[#This Row],[Valor]]&lt;Tabela1[[#This Row],[Min]],Tabela1[[#This Row],[Valor]]-Tabela1[[#This Row],[Min]],"Normal"))</f>
        <v>Normal</v>
      </c>
      <c r="N120" s="57" t="str">
        <f>IF(ISBLANK(Tabela1[[#This Row],[Max]]),"NMax",IF(Tabela1[[#This Row],[Valor]]&gt;Tabela1[[#This Row],[Max]],Tabela1[[#This Row],[Valor]]-Tabela1[[#This Row],[Max]],"Normal"))</f>
        <v>Normal</v>
      </c>
    </row>
    <row r="121" spans="2:14" x14ac:dyDescent="0.35">
      <c r="B121" s="33" t="s">
        <v>431</v>
      </c>
      <c r="C121" s="33" t="s">
        <v>44</v>
      </c>
      <c r="D121" s="2" t="s">
        <v>40</v>
      </c>
      <c r="E121" s="2"/>
      <c r="F121" s="3" t="s">
        <v>142</v>
      </c>
      <c r="G121" s="55">
        <v>42984</v>
      </c>
      <c r="H121" s="43">
        <v>19.600000000000001</v>
      </c>
      <c r="I121" s="43" t="str" cm="1">
        <f t="array" ref="I12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21" s="43"/>
      <c r="K121" s="43">
        <v>2</v>
      </c>
      <c r="L121" s="44">
        <v>40</v>
      </c>
      <c r="M121" s="57" t="str">
        <f>IF(ISBLANK(Tabela1[[#This Row],[Min]]),"NMin",IF(Tabela1[[#This Row],[Valor]]&lt;Tabela1[[#This Row],[Min]],Tabela1[[#This Row],[Valor]]-Tabela1[[#This Row],[Min]],"Normal"))</f>
        <v>Normal</v>
      </c>
      <c r="N121" s="57" t="str">
        <f>IF(ISBLANK(Tabela1[[#This Row],[Max]]),"NMax",IF(Tabela1[[#This Row],[Valor]]&gt;Tabela1[[#This Row],[Max]],Tabela1[[#This Row],[Valor]]-Tabela1[[#This Row],[Max]],"Normal"))</f>
        <v>Normal</v>
      </c>
    </row>
    <row r="122" spans="2:14" x14ac:dyDescent="0.35">
      <c r="B122" s="33" t="s">
        <v>431</v>
      </c>
      <c r="C122" s="33" t="s">
        <v>44</v>
      </c>
      <c r="D122" s="2" t="s">
        <v>154</v>
      </c>
      <c r="E122" s="2"/>
      <c r="F122" s="3" t="s">
        <v>146</v>
      </c>
      <c r="G122" s="55">
        <v>43115</v>
      </c>
      <c r="H122" s="43">
        <v>70</v>
      </c>
      <c r="I122" s="43" t="str" cm="1">
        <f t="array" ref="I12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22" s="43"/>
      <c r="K122" s="43">
        <v>20</v>
      </c>
      <c r="L122" s="44">
        <v>130</v>
      </c>
      <c r="M122" s="57" t="str">
        <f>IF(ISBLANK(Tabela1[[#This Row],[Min]]),"NMin",IF(Tabela1[[#This Row],[Valor]]&lt;Tabela1[[#This Row],[Min]],Tabela1[[#This Row],[Valor]]-Tabela1[[#This Row],[Min]],"Normal"))</f>
        <v>Normal</v>
      </c>
      <c r="N122" s="57" t="str">
        <f>IF(ISBLANK(Tabela1[[#This Row],[Max]]),"NMax",IF(Tabela1[[#This Row],[Valor]]&gt;Tabela1[[#This Row],[Max]],Tabela1[[#This Row],[Valor]]-Tabela1[[#This Row],[Max]],"Normal"))</f>
        <v>Normal</v>
      </c>
    </row>
    <row r="123" spans="2:14" x14ac:dyDescent="0.35">
      <c r="B123" s="33" t="s">
        <v>431</v>
      </c>
      <c r="C123" s="33" t="s">
        <v>44</v>
      </c>
      <c r="D123" s="2" t="s">
        <v>12</v>
      </c>
      <c r="E123" s="2" t="s">
        <v>16</v>
      </c>
      <c r="F123" s="3" t="s">
        <v>11</v>
      </c>
      <c r="G123" s="55">
        <v>45591</v>
      </c>
      <c r="H123" s="43">
        <v>1</v>
      </c>
      <c r="I123" s="43" t="str" cm="1">
        <f t="array" ref="I12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23" s="43"/>
      <c r="K123" s="43">
        <v>0.6</v>
      </c>
      <c r="L123" s="44">
        <v>1.2</v>
      </c>
      <c r="M123" s="57" t="str">
        <f>IF(ISBLANK(Tabela1[[#This Row],[Min]]),"NMin",IF(Tabela1[[#This Row],[Valor]]&lt;Tabela1[[#This Row],[Min]],Tabela1[[#This Row],[Valor]]-Tabela1[[#This Row],[Min]],"Normal"))</f>
        <v>Normal</v>
      </c>
      <c r="N123" s="57" t="str">
        <f>IF(ISBLANK(Tabela1[[#This Row],[Max]]),"NMax",IF(Tabela1[[#This Row],[Valor]]&gt;Tabela1[[#This Row],[Max]],Tabela1[[#This Row],[Valor]]-Tabela1[[#This Row],[Max]],"Normal"))</f>
        <v>Normal</v>
      </c>
    </row>
    <row r="124" spans="2:14" x14ac:dyDescent="0.35">
      <c r="B124" s="33" t="s">
        <v>431</v>
      </c>
      <c r="C124" s="33" t="s">
        <v>44</v>
      </c>
      <c r="D124" s="2" t="s">
        <v>153</v>
      </c>
      <c r="E124" s="2"/>
      <c r="F124" s="3" t="s">
        <v>146</v>
      </c>
      <c r="G124" s="55">
        <v>43115</v>
      </c>
      <c r="H124" s="43">
        <v>3</v>
      </c>
      <c r="I124" s="43" t="str" cm="1">
        <f t="array" ref="I12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24" s="43"/>
      <c r="K124" s="43">
        <v>2.7</v>
      </c>
      <c r="L124" s="44">
        <v>4.5</v>
      </c>
      <c r="M124" s="57" t="str">
        <f>IF(ISBLANK(Tabela1[[#This Row],[Min]]),"NMin",IF(Tabela1[[#This Row],[Valor]]&lt;Tabela1[[#This Row],[Min]],Tabela1[[#This Row],[Valor]]-Tabela1[[#This Row],[Min]],"Normal"))</f>
        <v>Normal</v>
      </c>
      <c r="N124" s="57" t="str">
        <f>IF(ISBLANK(Tabela1[[#This Row],[Max]]),"NMax",IF(Tabela1[[#This Row],[Valor]]&gt;Tabela1[[#This Row],[Max]],Tabela1[[#This Row],[Valor]]-Tabela1[[#This Row],[Max]],"Normal"))</f>
        <v>Normal</v>
      </c>
    </row>
    <row r="125" spans="2:14" x14ac:dyDescent="0.35">
      <c r="B125" s="33" t="s">
        <v>431</v>
      </c>
      <c r="C125" s="33" t="s">
        <v>44</v>
      </c>
      <c r="D125" s="2" t="s">
        <v>30</v>
      </c>
      <c r="E125" s="2"/>
      <c r="F125" s="3" t="s">
        <v>146</v>
      </c>
      <c r="G125" s="55">
        <v>39462</v>
      </c>
      <c r="H125" s="43">
        <v>72</v>
      </c>
      <c r="I125" s="43" t="str" cm="1">
        <f t="array" ref="I12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125" s="43"/>
      <c r="K125" s="43">
        <v>0</v>
      </c>
      <c r="L125" s="44">
        <v>50</v>
      </c>
      <c r="M125" s="57" t="str">
        <f>IF(ISBLANK(Tabela1[[#This Row],[Min]]),"NMin",IF(Tabela1[[#This Row],[Valor]]&lt;Tabela1[[#This Row],[Min]],Tabela1[[#This Row],[Valor]]-Tabela1[[#This Row],[Min]],"Normal"))</f>
        <v>Normal</v>
      </c>
      <c r="N125" s="57">
        <f>IF(ISBLANK(Tabela1[[#This Row],[Max]]),"NMax",IF(Tabela1[[#This Row],[Valor]]&gt;Tabela1[[#This Row],[Max]],Tabela1[[#This Row],[Valor]]-Tabela1[[#This Row],[Max]],"Normal"))</f>
        <v>22</v>
      </c>
    </row>
    <row r="126" spans="2:14" x14ac:dyDescent="0.35">
      <c r="B126" s="33" t="s">
        <v>431</v>
      </c>
      <c r="C126" s="33" t="s">
        <v>44</v>
      </c>
      <c r="D126" s="2" t="s">
        <v>30</v>
      </c>
      <c r="E126" s="2" t="s">
        <v>16</v>
      </c>
      <c r="F126" s="3" t="s">
        <v>11</v>
      </c>
      <c r="G126" s="55">
        <v>44966</v>
      </c>
      <c r="H126" s="43">
        <v>85</v>
      </c>
      <c r="I126" s="43" t="str" cm="1">
        <f t="array" ref="I12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126" s="43"/>
      <c r="K126" s="43"/>
      <c r="L126" s="44">
        <v>73</v>
      </c>
      <c r="M126" s="57" t="str">
        <f>IF(ISBLANK(Tabela1[[#This Row],[Min]]),"NMin",IF(Tabela1[[#This Row],[Valor]]&lt;Tabela1[[#This Row],[Min]],Tabela1[[#This Row],[Valor]]-Tabela1[[#This Row],[Min]],"Normal"))</f>
        <v>NMin</v>
      </c>
      <c r="N126" s="57">
        <f>IF(ISBLANK(Tabela1[[#This Row],[Max]]),"NMax",IF(Tabela1[[#This Row],[Valor]]&gt;Tabela1[[#This Row],[Max]],Tabela1[[#This Row],[Valor]]-Tabela1[[#This Row],[Max]],"Normal"))</f>
        <v>12</v>
      </c>
    </row>
    <row r="127" spans="2:14" x14ac:dyDescent="0.35">
      <c r="B127" s="33" t="s">
        <v>431</v>
      </c>
      <c r="C127" s="33" t="s">
        <v>44</v>
      </c>
      <c r="D127" s="2" t="s">
        <v>30</v>
      </c>
      <c r="E127" s="2" t="s">
        <v>16</v>
      </c>
      <c r="F127" s="3" t="s">
        <v>11</v>
      </c>
      <c r="G127" s="55">
        <v>43796</v>
      </c>
      <c r="H127" s="43">
        <v>95</v>
      </c>
      <c r="I127" s="43" t="str" cm="1">
        <f t="array" ref="I12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127" s="43"/>
      <c r="K127" s="43"/>
      <c r="L127" s="44">
        <v>73</v>
      </c>
      <c r="M127" s="57" t="str">
        <f>IF(ISBLANK(Tabela1[[#This Row],[Min]]),"NMin",IF(Tabela1[[#This Row],[Valor]]&lt;Tabela1[[#This Row],[Min]],Tabela1[[#This Row],[Valor]]-Tabela1[[#This Row],[Min]],"Normal"))</f>
        <v>NMin</v>
      </c>
      <c r="N127" s="57">
        <f>IF(ISBLANK(Tabela1[[#This Row],[Max]]),"NMax",IF(Tabela1[[#This Row],[Valor]]&gt;Tabela1[[#This Row],[Max]],Tabela1[[#This Row],[Valor]]-Tabela1[[#This Row],[Max]],"Normal"))</f>
        <v>22</v>
      </c>
    </row>
    <row r="128" spans="2:14" x14ac:dyDescent="0.35">
      <c r="B128" s="33" t="s">
        <v>431</v>
      </c>
      <c r="C128" s="33" t="s">
        <v>44</v>
      </c>
      <c r="D128" s="2" t="s">
        <v>184</v>
      </c>
      <c r="E128" s="2" t="s">
        <v>185</v>
      </c>
      <c r="F128" s="3" t="s">
        <v>11</v>
      </c>
      <c r="G128" s="55">
        <v>45591</v>
      </c>
      <c r="H128" s="43">
        <v>178</v>
      </c>
      <c r="I128" s="43" t="str" cm="1">
        <f t="array" ref="I12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28" s="43"/>
      <c r="K128" s="43">
        <v>120</v>
      </c>
      <c r="L128" s="44">
        <v>246</v>
      </c>
      <c r="M128" s="57" t="str">
        <f>IF(ISBLANK(Tabela1[[#This Row],[Min]]),"NMin",IF(Tabela1[[#This Row],[Valor]]&lt;Tabela1[[#This Row],[Min]],Tabela1[[#This Row],[Valor]]-Tabela1[[#This Row],[Min]],"Normal"))</f>
        <v>Normal</v>
      </c>
      <c r="N128" s="57" t="str">
        <f>IF(ISBLANK(Tabela1[[#This Row],[Max]]),"NMax",IF(Tabela1[[#This Row],[Valor]]&gt;Tabela1[[#This Row],[Max]],Tabela1[[#This Row],[Valor]]-Tabela1[[#This Row],[Max]],"Normal"))</f>
        <v>Normal</v>
      </c>
    </row>
    <row r="129" spans="2:14" x14ac:dyDescent="0.35">
      <c r="B129" s="33" t="s">
        <v>431</v>
      </c>
      <c r="C129" s="33" t="s">
        <v>105</v>
      </c>
      <c r="D129" s="2" t="s">
        <v>104</v>
      </c>
      <c r="E129" s="2" t="s">
        <v>108</v>
      </c>
      <c r="F129" s="3" t="s">
        <v>71</v>
      </c>
      <c r="G129" s="55">
        <v>43675</v>
      </c>
      <c r="H129" s="43">
        <v>67</v>
      </c>
      <c r="I129" s="43" t="str" cm="1">
        <f t="array" ref="I12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129" s="43"/>
      <c r="K129" s="43">
        <v>70</v>
      </c>
      <c r="L129" s="44">
        <v>110</v>
      </c>
      <c r="M129" s="57">
        <f>IF(ISBLANK(Tabela1[[#This Row],[Min]]),"NMin",IF(Tabela1[[#This Row],[Valor]]&lt;Tabela1[[#This Row],[Min]],Tabela1[[#This Row],[Valor]]-Tabela1[[#This Row],[Min]],"Normal"))</f>
        <v>-3</v>
      </c>
      <c r="N129" s="57" t="str">
        <f>IF(ISBLANK(Tabela1[[#This Row],[Max]]),"NMax",IF(Tabela1[[#This Row],[Valor]]&gt;Tabela1[[#This Row],[Max]],Tabela1[[#This Row],[Valor]]-Tabela1[[#This Row],[Max]],"Normal"))</f>
        <v>Normal</v>
      </c>
    </row>
    <row r="130" spans="2:14" x14ac:dyDescent="0.35">
      <c r="B130" s="33" t="s">
        <v>431</v>
      </c>
      <c r="C130" s="33" t="s">
        <v>105</v>
      </c>
      <c r="D130" s="2" t="s">
        <v>104</v>
      </c>
      <c r="E130" s="2" t="s">
        <v>108</v>
      </c>
      <c r="F130" s="3" t="s">
        <v>71</v>
      </c>
      <c r="G130" s="55">
        <v>44281</v>
      </c>
      <c r="H130" s="43">
        <v>79</v>
      </c>
      <c r="I130" s="43" t="str" cm="1">
        <f t="array" ref="I13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30" s="43"/>
      <c r="K130" s="43">
        <v>70</v>
      </c>
      <c r="L130" s="44">
        <v>110</v>
      </c>
      <c r="M130" s="57" t="str">
        <f>IF(ISBLANK(Tabela1[[#This Row],[Min]]),"NMin",IF(Tabela1[[#This Row],[Valor]]&lt;Tabela1[[#This Row],[Min]],Tabela1[[#This Row],[Valor]]-Tabela1[[#This Row],[Min]],"Normal"))</f>
        <v>Normal</v>
      </c>
      <c r="N130" s="57" t="str">
        <f>IF(ISBLANK(Tabela1[[#This Row],[Max]]),"NMax",IF(Tabela1[[#This Row],[Valor]]&gt;Tabela1[[#This Row],[Max]],Tabela1[[#This Row],[Valor]]-Tabela1[[#This Row],[Max]],"Normal"))</f>
        <v>Normal</v>
      </c>
    </row>
    <row r="131" spans="2:14" x14ac:dyDescent="0.35">
      <c r="B131" s="33" t="s">
        <v>431</v>
      </c>
      <c r="C131" s="33" t="s">
        <v>166</v>
      </c>
      <c r="D131" s="2" t="s">
        <v>168</v>
      </c>
      <c r="E131" s="2"/>
      <c r="F131" s="3" t="s">
        <v>146</v>
      </c>
      <c r="G131" s="55">
        <v>43115</v>
      </c>
      <c r="H131" s="49">
        <v>2.1000000000000001E-2</v>
      </c>
      <c r="I131" s="49" t="str" cm="1">
        <f t="array" ref="I13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31" s="61" t="s">
        <v>363</v>
      </c>
      <c r="K131" s="49">
        <v>0.02</v>
      </c>
      <c r="L131" s="46">
        <v>0.05</v>
      </c>
      <c r="M131" s="57" t="str">
        <f>IF(ISBLANK(Tabela1[[#This Row],[Min]]),"NMin",IF(Tabela1[[#This Row],[Valor]]&lt;Tabela1[[#This Row],[Min]],Tabela1[[#This Row],[Valor]]-Tabela1[[#This Row],[Min]],"Normal"))</f>
        <v>Normal</v>
      </c>
      <c r="N131" s="57" t="str">
        <f>IF(ISBLANK(Tabela1[[#This Row],[Max]]),"NMax",IF(Tabela1[[#This Row],[Valor]]&gt;Tabela1[[#This Row],[Max]],Tabela1[[#This Row],[Valor]]-Tabela1[[#This Row],[Max]],"Normal"))</f>
        <v>Normal</v>
      </c>
    </row>
    <row r="132" spans="2:14" x14ac:dyDescent="0.35">
      <c r="B132" s="33" t="s">
        <v>431</v>
      </c>
      <c r="C132" s="33" t="s">
        <v>166</v>
      </c>
      <c r="D132" s="2" t="s">
        <v>169</v>
      </c>
      <c r="E132" s="2"/>
      <c r="F132" s="3" t="s">
        <v>146</v>
      </c>
      <c r="G132" s="55">
        <v>43115</v>
      </c>
      <c r="H132" s="49">
        <v>9.0999999999999998E-2</v>
      </c>
      <c r="I132" s="49" t="str" cm="1">
        <f t="array" ref="I13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32" s="61" t="s">
        <v>363</v>
      </c>
      <c r="K132" s="49">
        <v>0.06</v>
      </c>
      <c r="L132" s="46">
        <v>0.12</v>
      </c>
      <c r="M132" s="57" t="str">
        <f>IF(ISBLANK(Tabela1[[#This Row],[Min]]),"NMin",IF(Tabela1[[#This Row],[Valor]]&lt;Tabela1[[#This Row],[Min]],Tabela1[[#This Row],[Valor]]-Tabela1[[#This Row],[Min]],"Normal"))</f>
        <v>Normal</v>
      </c>
      <c r="N132" s="57" t="str">
        <f>IF(ISBLANK(Tabela1[[#This Row],[Max]]),"NMax",IF(Tabela1[[#This Row],[Valor]]&gt;Tabela1[[#This Row],[Max]],Tabela1[[#This Row],[Valor]]-Tabela1[[#This Row],[Max]],"Normal"))</f>
        <v>Normal</v>
      </c>
    </row>
    <row r="133" spans="2:14" x14ac:dyDescent="0.35">
      <c r="B133" s="33" t="s">
        <v>431</v>
      </c>
      <c r="C133" s="33" t="s">
        <v>166</v>
      </c>
      <c r="D133" s="2" t="s">
        <v>170</v>
      </c>
      <c r="E133" s="2"/>
      <c r="F133" s="3" t="s">
        <v>146</v>
      </c>
      <c r="G133" s="55">
        <v>43115</v>
      </c>
      <c r="H133" s="49">
        <v>7.1999999999999995E-2</v>
      </c>
      <c r="I133" s="49" t="str" cm="1">
        <f t="array" ref="I13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133" s="61" t="s">
        <v>363</v>
      </c>
      <c r="K133" s="49">
        <v>0.08</v>
      </c>
      <c r="L133" s="46">
        <v>0.14000000000000001</v>
      </c>
      <c r="M133" s="57">
        <f>IF(ISBLANK(Tabela1[[#This Row],[Min]]),"NMin",IF(Tabela1[[#This Row],[Valor]]&lt;Tabela1[[#This Row],[Min]],Tabela1[[#This Row],[Valor]]-Tabela1[[#This Row],[Min]],"Normal"))</f>
        <v>-8.0000000000000071E-3</v>
      </c>
      <c r="N133" s="57" t="str">
        <f>IF(ISBLANK(Tabela1[[#This Row],[Max]]),"NMax",IF(Tabela1[[#This Row],[Valor]]&gt;Tabela1[[#This Row],[Max]],Tabela1[[#This Row],[Valor]]-Tabela1[[#This Row],[Max]],"Normal"))</f>
        <v>Normal</v>
      </c>
    </row>
    <row r="134" spans="2:14" x14ac:dyDescent="0.35">
      <c r="B134" s="33" t="s">
        <v>431</v>
      </c>
      <c r="C134" s="33" t="s">
        <v>166</v>
      </c>
      <c r="D134" s="2" t="s">
        <v>171</v>
      </c>
      <c r="E134" s="2"/>
      <c r="F134" s="3" t="s">
        <v>146</v>
      </c>
      <c r="G134" s="55">
        <v>43115</v>
      </c>
      <c r="H134" s="49">
        <v>9.5000000000000001E-2</v>
      </c>
      <c r="I134" s="49" t="str" cm="1">
        <f t="array" ref="I13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134" s="61" t="s">
        <v>363</v>
      </c>
      <c r="K134" s="49">
        <v>0.12</v>
      </c>
      <c r="L134" s="46">
        <v>0.22</v>
      </c>
      <c r="M134" s="57">
        <f>IF(ISBLANK(Tabela1[[#This Row],[Min]]),"NMin",IF(Tabela1[[#This Row],[Valor]]&lt;Tabela1[[#This Row],[Min]],Tabela1[[#This Row],[Valor]]-Tabela1[[#This Row],[Min]],"Normal"))</f>
        <v>-2.4999999999999994E-2</v>
      </c>
      <c r="N134" s="57" t="str">
        <f>IF(ISBLANK(Tabela1[[#This Row],[Max]]),"NMax",IF(Tabela1[[#This Row],[Valor]]&gt;Tabela1[[#This Row],[Max]],Tabela1[[#This Row],[Valor]]-Tabela1[[#This Row],[Max]],"Normal"))</f>
        <v>Normal</v>
      </c>
    </row>
    <row r="135" spans="2:14" x14ac:dyDescent="0.35">
      <c r="B135" s="33" t="s">
        <v>431</v>
      </c>
      <c r="C135" s="33" t="s">
        <v>44</v>
      </c>
      <c r="D135" s="2" t="s">
        <v>13</v>
      </c>
      <c r="E135" s="2" t="s">
        <v>15</v>
      </c>
      <c r="F135" s="3" t="s">
        <v>11</v>
      </c>
      <c r="G135" s="55">
        <v>44966</v>
      </c>
      <c r="H135" s="43">
        <v>75</v>
      </c>
      <c r="I135" s="43" t="str" cm="1">
        <f t="array" ref="I13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35" s="43"/>
      <c r="K135" s="43">
        <v>60</v>
      </c>
      <c r="L135" s="44">
        <v>110</v>
      </c>
      <c r="M135" s="57" t="str">
        <f>IF(ISBLANK(Tabela1[[#This Row],[Min]]),"NMin",IF(Tabela1[[#This Row],[Valor]]&lt;Tabela1[[#This Row],[Min]],Tabela1[[#This Row],[Valor]]-Tabela1[[#This Row],[Min]],"Normal"))</f>
        <v>Normal</v>
      </c>
      <c r="N135" s="57" t="str">
        <f>IF(ISBLANK(Tabela1[[#This Row],[Max]]),"NMax",IF(Tabela1[[#This Row],[Valor]]&gt;Tabela1[[#This Row],[Max]],Tabela1[[#This Row],[Valor]]-Tabela1[[#This Row],[Max]],"Normal"))</f>
        <v>Normal</v>
      </c>
    </row>
    <row r="136" spans="2:14" x14ac:dyDescent="0.35">
      <c r="B136" s="33" t="s">
        <v>431</v>
      </c>
      <c r="C136" s="33" t="s">
        <v>44</v>
      </c>
      <c r="D136" s="2" t="s">
        <v>13</v>
      </c>
      <c r="E136" s="2"/>
      <c r="F136" s="3" t="s">
        <v>143</v>
      </c>
      <c r="G136" s="55">
        <v>41291</v>
      </c>
      <c r="H136" s="43">
        <v>76</v>
      </c>
      <c r="I136" s="43" t="str" cm="1">
        <f t="array" ref="I13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36" s="43"/>
      <c r="K136" s="43">
        <v>70</v>
      </c>
      <c r="L136" s="44">
        <v>120</v>
      </c>
      <c r="M136" s="57" t="str">
        <f>IF(ISBLANK(Tabela1[[#This Row],[Min]]),"NMin",IF(Tabela1[[#This Row],[Valor]]&lt;Tabela1[[#This Row],[Min]],Tabela1[[#This Row],[Valor]]-Tabela1[[#This Row],[Min]],"Normal"))</f>
        <v>Normal</v>
      </c>
      <c r="N136" s="57" t="str">
        <f>IF(ISBLANK(Tabela1[[#This Row],[Max]]),"NMax",IF(Tabela1[[#This Row],[Valor]]&gt;Tabela1[[#This Row],[Max]],Tabela1[[#This Row],[Valor]]-Tabela1[[#This Row],[Max]],"Normal"))</f>
        <v>Normal</v>
      </c>
    </row>
    <row r="137" spans="2:14" x14ac:dyDescent="0.35">
      <c r="B137" s="33" t="s">
        <v>431</v>
      </c>
      <c r="C137" s="33" t="s">
        <v>44</v>
      </c>
      <c r="D137" s="2" t="s">
        <v>13</v>
      </c>
      <c r="E137" s="2" t="s">
        <v>20</v>
      </c>
      <c r="F137" s="3" t="s">
        <v>4</v>
      </c>
      <c r="G137" s="55">
        <v>45022</v>
      </c>
      <c r="H137" s="43">
        <v>78</v>
      </c>
      <c r="I137" s="43" t="str" cm="1">
        <f t="array" ref="I13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37" s="43"/>
      <c r="K137" s="43">
        <v>74</v>
      </c>
      <c r="L137" s="44">
        <v>106</v>
      </c>
      <c r="M137" s="57" t="str">
        <f>IF(ISBLANK(Tabela1[[#This Row],[Min]]),"NMin",IF(Tabela1[[#This Row],[Valor]]&lt;Tabela1[[#This Row],[Min]],Tabela1[[#This Row],[Valor]]-Tabela1[[#This Row],[Min]],"Normal"))</f>
        <v>Normal</v>
      </c>
      <c r="N137" s="57" t="str">
        <f>IF(ISBLANK(Tabela1[[#This Row],[Max]]),"NMax",IF(Tabela1[[#This Row],[Valor]]&gt;Tabela1[[#This Row],[Max]],Tabela1[[#This Row],[Valor]]-Tabela1[[#This Row],[Max]],"Normal"))</f>
        <v>Normal</v>
      </c>
    </row>
    <row r="138" spans="2:14" x14ac:dyDescent="0.35">
      <c r="B138" s="33" t="s">
        <v>431</v>
      </c>
      <c r="C138" s="33" t="s">
        <v>44</v>
      </c>
      <c r="D138" s="2" t="s">
        <v>13</v>
      </c>
      <c r="E138" s="2"/>
      <c r="F138" s="3" t="s">
        <v>142</v>
      </c>
      <c r="G138" s="55">
        <v>42984</v>
      </c>
      <c r="H138" s="43">
        <v>79</v>
      </c>
      <c r="I138" s="43" t="str" cm="1">
        <f t="array" ref="I13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38" s="43"/>
      <c r="K138" s="43">
        <v>60</v>
      </c>
      <c r="L138" s="44">
        <v>110</v>
      </c>
      <c r="M138" s="57" t="str">
        <f>IF(ISBLANK(Tabela1[[#This Row],[Min]]),"NMin",IF(Tabela1[[#This Row],[Valor]]&lt;Tabela1[[#This Row],[Min]],Tabela1[[#This Row],[Valor]]-Tabela1[[#This Row],[Min]],"Normal"))</f>
        <v>Normal</v>
      </c>
      <c r="N138" s="57" t="str">
        <f>IF(ISBLANK(Tabela1[[#This Row],[Max]]),"NMax",IF(Tabela1[[#This Row],[Valor]]&gt;Tabela1[[#This Row],[Max]],Tabela1[[#This Row],[Valor]]-Tabela1[[#This Row],[Max]],"Normal"))</f>
        <v>Normal</v>
      </c>
    </row>
    <row r="139" spans="2:14" x14ac:dyDescent="0.35">
      <c r="B139" s="33" t="s">
        <v>431</v>
      </c>
      <c r="C139" s="33" t="s">
        <v>44</v>
      </c>
      <c r="D139" s="2" t="s">
        <v>13</v>
      </c>
      <c r="E139" s="2" t="s">
        <v>20</v>
      </c>
      <c r="F139" s="3" t="s">
        <v>4</v>
      </c>
      <c r="G139" s="55">
        <v>44259</v>
      </c>
      <c r="H139" s="43">
        <v>80</v>
      </c>
      <c r="I139" s="43" t="str" cm="1">
        <f t="array" ref="I13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39" s="43"/>
      <c r="K139" s="43"/>
      <c r="L139" s="44">
        <v>106</v>
      </c>
      <c r="M139" s="57" t="str">
        <f>IF(ISBLANK(Tabela1[[#This Row],[Min]]),"NMin",IF(Tabela1[[#This Row],[Valor]]&lt;Tabela1[[#This Row],[Min]],Tabela1[[#This Row],[Valor]]-Tabela1[[#This Row],[Min]],"Normal"))</f>
        <v>NMin</v>
      </c>
      <c r="N139" s="57" t="str">
        <f>IF(ISBLANK(Tabela1[[#This Row],[Max]]),"NMax",IF(Tabela1[[#This Row],[Valor]]&gt;Tabela1[[#This Row],[Max]],Tabela1[[#This Row],[Valor]]-Tabela1[[#This Row],[Max]],"Normal"))</f>
        <v>Normal</v>
      </c>
    </row>
    <row r="140" spans="2:14" x14ac:dyDescent="0.35">
      <c r="B140" s="33" t="s">
        <v>431</v>
      </c>
      <c r="C140" s="33" t="s">
        <v>44</v>
      </c>
      <c r="D140" s="2" t="s">
        <v>13</v>
      </c>
      <c r="E140" s="2"/>
      <c r="F140" s="3" t="s">
        <v>142</v>
      </c>
      <c r="G140" s="55">
        <v>42478</v>
      </c>
      <c r="H140" s="43">
        <v>80</v>
      </c>
      <c r="I140" s="43" t="str" cm="1">
        <f t="array" ref="I14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40" s="43"/>
      <c r="K140" s="43">
        <v>60</v>
      </c>
      <c r="L140" s="44">
        <v>110</v>
      </c>
      <c r="M140" s="57" t="str">
        <f>IF(ISBLANK(Tabela1[[#This Row],[Min]]),"NMin",IF(Tabela1[[#This Row],[Valor]]&lt;Tabela1[[#This Row],[Min]],Tabela1[[#This Row],[Valor]]-Tabela1[[#This Row],[Min]],"Normal"))</f>
        <v>Normal</v>
      </c>
      <c r="N140" s="57" t="str">
        <f>IF(ISBLANK(Tabela1[[#This Row],[Max]]),"NMax",IF(Tabela1[[#This Row],[Valor]]&gt;Tabela1[[#This Row],[Max]],Tabela1[[#This Row],[Valor]]-Tabela1[[#This Row],[Max]],"Normal"))</f>
        <v>Normal</v>
      </c>
    </row>
    <row r="141" spans="2:14" x14ac:dyDescent="0.35">
      <c r="B141" s="33" t="s">
        <v>431</v>
      </c>
      <c r="C141" s="33" t="s">
        <v>44</v>
      </c>
      <c r="D141" s="2" t="s">
        <v>13</v>
      </c>
      <c r="E141" s="2"/>
      <c r="F141" s="3" t="s">
        <v>146</v>
      </c>
      <c r="G141" s="55">
        <v>39462</v>
      </c>
      <c r="H141" s="43">
        <v>82</v>
      </c>
      <c r="I141" s="43" t="str" cm="1">
        <f t="array" ref="I14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141" s="43"/>
      <c r="K141" s="43">
        <v>90</v>
      </c>
      <c r="L141" s="44">
        <v>110</v>
      </c>
      <c r="M141" s="57">
        <f>IF(ISBLANK(Tabela1[[#This Row],[Min]]),"NMin",IF(Tabela1[[#This Row],[Valor]]&lt;Tabela1[[#This Row],[Min]],Tabela1[[#This Row],[Valor]]-Tabela1[[#This Row],[Min]],"Normal"))</f>
        <v>-8</v>
      </c>
      <c r="N141" s="57" t="str">
        <f>IF(ISBLANK(Tabela1[[#This Row],[Max]]),"NMax",IF(Tabela1[[#This Row],[Valor]]&gt;Tabela1[[#This Row],[Max]],Tabela1[[#This Row],[Valor]]-Tabela1[[#This Row],[Max]],"Normal"))</f>
        <v>Normal</v>
      </c>
    </row>
    <row r="142" spans="2:14" x14ac:dyDescent="0.35">
      <c r="B142" s="33" t="s">
        <v>431</v>
      </c>
      <c r="C142" s="33" t="s">
        <v>44</v>
      </c>
      <c r="D142" s="2" t="s">
        <v>13</v>
      </c>
      <c r="E142" s="2" t="s">
        <v>15</v>
      </c>
      <c r="F142" s="3" t="s">
        <v>11</v>
      </c>
      <c r="G142" s="55">
        <v>44625</v>
      </c>
      <c r="H142" s="43">
        <v>87</v>
      </c>
      <c r="I142" s="43" t="str" cm="1">
        <f t="array" ref="I14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42" s="43"/>
      <c r="K142" s="43">
        <v>60</v>
      </c>
      <c r="L142" s="44">
        <v>110</v>
      </c>
      <c r="M142" s="57" t="str">
        <f>IF(ISBLANK(Tabela1[[#This Row],[Min]]),"NMin",IF(Tabela1[[#This Row],[Valor]]&lt;Tabela1[[#This Row],[Min]],Tabela1[[#This Row],[Valor]]-Tabela1[[#This Row],[Min]],"Normal"))</f>
        <v>Normal</v>
      </c>
      <c r="N142" s="57" t="str">
        <f>IF(ISBLANK(Tabela1[[#This Row],[Max]]),"NMax",IF(Tabela1[[#This Row],[Valor]]&gt;Tabela1[[#This Row],[Max]],Tabela1[[#This Row],[Valor]]-Tabela1[[#This Row],[Max]],"Normal"))</f>
        <v>Normal</v>
      </c>
    </row>
    <row r="143" spans="2:14" x14ac:dyDescent="0.35">
      <c r="B143" s="33" t="s">
        <v>431</v>
      </c>
      <c r="C143" s="33" t="s">
        <v>90</v>
      </c>
      <c r="D143" s="2" t="s">
        <v>13</v>
      </c>
      <c r="E143" s="2" t="s">
        <v>68</v>
      </c>
      <c r="F143" s="3" t="s">
        <v>11</v>
      </c>
      <c r="G143" s="55">
        <v>44625</v>
      </c>
      <c r="H143" s="2" t="s">
        <v>59</v>
      </c>
      <c r="I143" s="43" t="str" cm="1">
        <f t="array" ref="I14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143" s="2"/>
      <c r="K143" s="2"/>
      <c r="L143" s="34"/>
      <c r="M143" s="57" t="str">
        <f>IF(ISBLANK(Tabela1[[#This Row],[Min]]),"NMin",IF(Tabela1[[#This Row],[Valor]]&lt;Tabela1[[#This Row],[Min]],Tabela1[[#This Row],[Valor]]-Tabela1[[#This Row],[Min]],"Normal"))</f>
        <v>NMin</v>
      </c>
      <c r="N143" s="57" t="str">
        <f>IF(ISBLANK(Tabela1[[#This Row],[Max]]),"NMax",IF(Tabela1[[#This Row],[Valor]]&gt;Tabela1[[#This Row],[Max]],Tabela1[[#This Row],[Valor]]-Tabela1[[#This Row],[Max]],"Normal"))</f>
        <v>NMax</v>
      </c>
    </row>
    <row r="144" spans="2:14" x14ac:dyDescent="0.35">
      <c r="B144" s="33" t="s">
        <v>431</v>
      </c>
      <c r="C144" s="33" t="s">
        <v>90</v>
      </c>
      <c r="D144" s="2" t="s">
        <v>13</v>
      </c>
      <c r="E144" s="2" t="s">
        <v>123</v>
      </c>
      <c r="F144" s="3" t="s">
        <v>71</v>
      </c>
      <c r="G144" s="55">
        <v>44281</v>
      </c>
      <c r="H144" s="2" t="s">
        <v>33</v>
      </c>
      <c r="I144" s="43" t="str" cm="1">
        <f t="array" ref="I14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Positivo/Negativo</v>
      </c>
      <c r="J144" s="2"/>
      <c r="K144" s="2"/>
      <c r="L144" s="34"/>
      <c r="M144" s="57" t="str">
        <f>IF(ISBLANK(Tabela1[[#This Row],[Min]]),"NMin",IF(Tabela1[[#This Row],[Valor]]&lt;Tabela1[[#This Row],[Min]],Tabela1[[#This Row],[Valor]]-Tabela1[[#This Row],[Min]],"Normal"))</f>
        <v>NMin</v>
      </c>
      <c r="N144" s="57" t="str">
        <f>IF(ISBLANK(Tabela1[[#This Row],[Max]]),"NMax",IF(Tabela1[[#This Row],[Valor]]&gt;Tabela1[[#This Row],[Max]],Tabela1[[#This Row],[Valor]]-Tabela1[[#This Row],[Max]],"Normal"))</f>
        <v>NMax</v>
      </c>
    </row>
    <row r="145" spans="2:14" x14ac:dyDescent="0.35">
      <c r="B145" s="33" t="s">
        <v>431</v>
      </c>
      <c r="C145" s="33" t="s">
        <v>95</v>
      </c>
      <c r="D145" s="2" t="s">
        <v>94</v>
      </c>
      <c r="E145" s="2" t="s">
        <v>96</v>
      </c>
      <c r="F145" s="3" t="s">
        <v>11</v>
      </c>
      <c r="G145" s="55">
        <v>45591</v>
      </c>
      <c r="H145" s="43">
        <v>5.0199999999999996</v>
      </c>
      <c r="I145" s="43" t="str" cm="1">
        <f t="array" ref="I14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45" s="43"/>
      <c r="K145" s="43">
        <v>4.3499999999999996</v>
      </c>
      <c r="L145" s="44">
        <v>5.65</v>
      </c>
      <c r="M145" s="57" t="str">
        <f>IF(ISBLANK(Tabela1[[#This Row],[Min]]),"NMin",IF(Tabela1[[#This Row],[Valor]]&lt;Tabela1[[#This Row],[Min]],Tabela1[[#This Row],[Valor]]-Tabela1[[#This Row],[Min]],"Normal"))</f>
        <v>Normal</v>
      </c>
      <c r="N145" s="57" t="str">
        <f>IF(ISBLANK(Tabela1[[#This Row],[Max]]),"NMax",IF(Tabela1[[#This Row],[Valor]]&gt;Tabela1[[#This Row],[Max]],Tabela1[[#This Row],[Valor]]-Tabela1[[#This Row],[Max]],"Normal"))</f>
        <v>Normal</v>
      </c>
    </row>
    <row r="146" spans="2:14" x14ac:dyDescent="0.35">
      <c r="B146" s="33" t="s">
        <v>431</v>
      </c>
      <c r="C146" s="33" t="s">
        <v>95</v>
      </c>
      <c r="D146" s="2" t="s">
        <v>124</v>
      </c>
      <c r="E146" s="2"/>
      <c r="F146" s="3" t="s">
        <v>11</v>
      </c>
      <c r="G146" s="55">
        <v>43796</v>
      </c>
      <c r="H146" s="43">
        <v>29.4</v>
      </c>
      <c r="I146" s="43" t="str" cm="1">
        <f t="array" ref="I14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46" s="43"/>
      <c r="K146" s="43">
        <v>26.5</v>
      </c>
      <c r="L146" s="44">
        <v>32.6</v>
      </c>
      <c r="M146" s="57" t="str">
        <f>IF(ISBLANK(Tabela1[[#This Row],[Min]]),"NMin",IF(Tabela1[[#This Row],[Valor]]&lt;Tabela1[[#This Row],[Min]],Tabela1[[#This Row],[Valor]]-Tabela1[[#This Row],[Min]],"Normal"))</f>
        <v>Normal</v>
      </c>
      <c r="N146" s="57" t="str">
        <f>IF(ISBLANK(Tabela1[[#This Row],[Max]]),"NMax",IF(Tabela1[[#This Row],[Valor]]&gt;Tabela1[[#This Row],[Max]],Tabela1[[#This Row],[Valor]]-Tabela1[[#This Row],[Max]],"Normal"))</f>
        <v>Normal</v>
      </c>
    </row>
    <row r="147" spans="2:14" x14ac:dyDescent="0.35">
      <c r="B147" s="33" t="s">
        <v>431</v>
      </c>
      <c r="C147" s="33" t="s">
        <v>95</v>
      </c>
      <c r="D147" s="2" t="s">
        <v>124</v>
      </c>
      <c r="E147" s="2"/>
      <c r="F147" s="3" t="s">
        <v>146</v>
      </c>
      <c r="G147" s="55">
        <v>39462</v>
      </c>
      <c r="H147" s="43">
        <v>29.4</v>
      </c>
      <c r="I147" s="43" t="str" cm="1">
        <f t="array" ref="I14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47" s="43"/>
      <c r="K147" s="43">
        <v>26.7</v>
      </c>
      <c r="L147" s="44">
        <v>30.7</v>
      </c>
      <c r="M147" s="57" t="str">
        <f>IF(ISBLANK(Tabela1[[#This Row],[Min]]),"NMin",IF(Tabela1[[#This Row],[Valor]]&lt;Tabela1[[#This Row],[Min]],Tabela1[[#This Row],[Valor]]-Tabela1[[#This Row],[Min]],"Normal"))</f>
        <v>Normal</v>
      </c>
      <c r="N147" s="57" t="str">
        <f>IF(ISBLANK(Tabela1[[#This Row],[Max]]),"NMax",IF(Tabela1[[#This Row],[Valor]]&gt;Tabela1[[#This Row],[Max]],Tabela1[[#This Row],[Valor]]-Tabela1[[#This Row],[Max]],"Normal"))</f>
        <v>Normal</v>
      </c>
    </row>
    <row r="148" spans="2:14" x14ac:dyDescent="0.35">
      <c r="B148" s="33" t="s">
        <v>431</v>
      </c>
      <c r="C148" s="33" t="s">
        <v>44</v>
      </c>
      <c r="D148" s="2" t="s">
        <v>154</v>
      </c>
      <c r="E148" s="2"/>
      <c r="F148" s="3" t="s">
        <v>11</v>
      </c>
      <c r="G148" s="55">
        <v>45591</v>
      </c>
      <c r="H148" s="43">
        <v>90</v>
      </c>
      <c r="I148" s="43" t="str" cm="1">
        <f t="array" ref="I14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48" s="43"/>
      <c r="K148" s="43">
        <v>46</v>
      </c>
      <c r="L148" s="44">
        <v>116</v>
      </c>
      <c r="M148" s="57" t="str">
        <f>IF(ISBLANK(Tabela1[[#This Row],[Min]]),"NMin",IF(Tabela1[[#This Row],[Valor]]&lt;Tabela1[[#This Row],[Min]],Tabela1[[#This Row],[Valor]]-Tabela1[[#This Row],[Min]],"Normal"))</f>
        <v>Normal</v>
      </c>
      <c r="N148" s="57" t="str">
        <f>IF(ISBLANK(Tabela1[[#This Row],[Max]]),"NMax",IF(Tabela1[[#This Row],[Valor]]&gt;Tabela1[[#This Row],[Max]],Tabela1[[#This Row],[Valor]]-Tabela1[[#This Row],[Max]],"Normal"))</f>
        <v>Normal</v>
      </c>
    </row>
    <row r="149" spans="2:14" x14ac:dyDescent="0.35">
      <c r="B149" s="33" t="s">
        <v>431</v>
      </c>
      <c r="C149" s="33" t="s">
        <v>95</v>
      </c>
      <c r="D149" s="2" t="s">
        <v>181</v>
      </c>
      <c r="E149" s="2"/>
      <c r="F149" s="3" t="s">
        <v>11</v>
      </c>
      <c r="G149" s="55">
        <v>43796</v>
      </c>
      <c r="H149" s="49">
        <v>0.41899999999999998</v>
      </c>
      <c r="I149" s="49" t="str" cm="1">
        <f t="array" ref="I14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49" s="61" t="s">
        <v>363</v>
      </c>
      <c r="K149" s="49">
        <v>0.38300000000000001</v>
      </c>
      <c r="L149" s="46">
        <v>0.48599999999999999</v>
      </c>
      <c r="M149" s="58" t="str">
        <f>IF(ISBLANK(Tabela1[[#This Row],[Min]]),"NMin",IF(Tabela1[[#This Row],[Valor]]&lt;Tabela1[[#This Row],[Min]],Tabela1[[#This Row],[Valor]]-Tabela1[[#This Row],[Min]],"Normal"))</f>
        <v>Normal</v>
      </c>
      <c r="N149" s="57" t="str">
        <f>IF(ISBLANK(Tabela1[[#This Row],[Max]]),"NMax",IF(Tabela1[[#This Row],[Valor]]&gt;Tabela1[[#This Row],[Max]],Tabela1[[#This Row],[Valor]]-Tabela1[[#This Row],[Max]],"Normal"))</f>
        <v>Normal</v>
      </c>
    </row>
    <row r="150" spans="2:14" x14ac:dyDescent="0.35">
      <c r="B150" s="33" t="s">
        <v>431</v>
      </c>
      <c r="C150" s="33" t="s">
        <v>95</v>
      </c>
      <c r="D150" s="2" t="s">
        <v>181</v>
      </c>
      <c r="E150" s="2"/>
      <c r="F150" s="3" t="s">
        <v>146</v>
      </c>
      <c r="G150" s="55">
        <v>39462</v>
      </c>
      <c r="H150" s="49">
        <v>0.43099999999999999</v>
      </c>
      <c r="I150" s="49" t="str" cm="1">
        <f t="array" ref="I15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50" s="61" t="s">
        <v>363</v>
      </c>
      <c r="K150" s="49">
        <v>0.41</v>
      </c>
      <c r="L150" s="46">
        <v>0.51</v>
      </c>
      <c r="M150" s="58" t="str">
        <f>IF(ISBLANK(Tabela1[[#This Row],[Min]]),"NMin",IF(Tabela1[[#This Row],[Valor]]&lt;Tabela1[[#This Row],[Min]],Tabela1[[#This Row],[Valor]]-Tabela1[[#This Row],[Min]],"Normal"))</f>
        <v>Normal</v>
      </c>
      <c r="N150" s="57" t="str">
        <f>IF(ISBLANK(Tabela1[[#This Row],[Max]]),"NMax",IF(Tabela1[[#This Row],[Valor]]&gt;Tabela1[[#This Row],[Max]],Tabela1[[#This Row],[Valor]]-Tabela1[[#This Row],[Max]],"Normal"))</f>
        <v>Normal</v>
      </c>
    </row>
    <row r="151" spans="2:14" x14ac:dyDescent="0.35">
      <c r="B151" s="33" t="s">
        <v>431</v>
      </c>
      <c r="C151" s="33" t="s">
        <v>95</v>
      </c>
      <c r="D151" s="2" t="s">
        <v>181</v>
      </c>
      <c r="E151" s="2" t="s">
        <v>96</v>
      </c>
      <c r="F151" s="3" t="s">
        <v>71</v>
      </c>
      <c r="G151" s="55">
        <v>44281</v>
      </c>
      <c r="H151" s="49">
        <v>0.44800000000000001</v>
      </c>
      <c r="I151" s="49" t="str" cm="1">
        <f t="array" ref="I15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51" s="61" t="s">
        <v>363</v>
      </c>
      <c r="K151" s="49">
        <v>0.4</v>
      </c>
      <c r="L151" s="46">
        <v>0.5</v>
      </c>
      <c r="M151" s="58" t="str">
        <f>IF(ISBLANK(Tabela1[[#This Row],[Min]]),"NMin",IF(Tabela1[[#This Row],[Valor]]&lt;Tabela1[[#This Row],[Min]],Tabela1[[#This Row],[Valor]]-Tabela1[[#This Row],[Min]],"Normal"))</f>
        <v>Normal</v>
      </c>
      <c r="N151" s="57" t="str">
        <f>IF(ISBLANK(Tabela1[[#This Row],[Max]]),"NMax",IF(Tabela1[[#This Row],[Valor]]&gt;Tabela1[[#This Row],[Max]],Tabela1[[#This Row],[Valor]]-Tabela1[[#This Row],[Max]],"Normal"))</f>
        <v>Normal</v>
      </c>
    </row>
    <row r="152" spans="2:14" x14ac:dyDescent="0.35">
      <c r="B152" s="33" t="s">
        <v>431</v>
      </c>
      <c r="C152" s="33" t="s">
        <v>44</v>
      </c>
      <c r="D152" s="2" t="s">
        <v>13</v>
      </c>
      <c r="E152" s="2" t="s">
        <v>15</v>
      </c>
      <c r="F152" s="3" t="s">
        <v>11</v>
      </c>
      <c r="G152" s="55">
        <v>45589</v>
      </c>
      <c r="H152" s="43">
        <v>88</v>
      </c>
      <c r="I152" s="43" t="str" cm="1">
        <f t="array" ref="I15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52" s="43"/>
      <c r="K152" s="43">
        <v>60</v>
      </c>
      <c r="L152" s="44">
        <v>110</v>
      </c>
      <c r="M152" s="57" t="str">
        <f>IF(ISBLANK(Tabela1[[#This Row],[Min]]),"NMin",IF(Tabela1[[#This Row],[Valor]]&lt;Tabela1[[#This Row],[Min]],Tabela1[[#This Row],[Valor]]-Tabela1[[#This Row],[Min]],"Normal"))</f>
        <v>Normal</v>
      </c>
      <c r="N152" s="57" t="str">
        <f>IF(ISBLANK(Tabela1[[#This Row],[Max]]),"NMax",IF(Tabela1[[#This Row],[Valor]]&gt;Tabela1[[#This Row],[Max]],Tabela1[[#This Row],[Valor]]-Tabela1[[#This Row],[Max]],"Normal"))</f>
        <v>Normal</v>
      </c>
    </row>
    <row r="153" spans="2:14" x14ac:dyDescent="0.35">
      <c r="B153" s="33" t="s">
        <v>431</v>
      </c>
      <c r="C153" s="33" t="s">
        <v>95</v>
      </c>
      <c r="D153" s="2" t="s">
        <v>51</v>
      </c>
      <c r="E153" s="2"/>
      <c r="F153" s="3" t="s">
        <v>11</v>
      </c>
      <c r="G153" s="55">
        <v>43796</v>
      </c>
      <c r="H153" s="43">
        <v>14.1</v>
      </c>
      <c r="I153" s="43" t="str" cm="1">
        <f t="array" ref="I15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53" s="43"/>
      <c r="K153" s="43">
        <v>13.2</v>
      </c>
      <c r="L153" s="44">
        <v>16.600000000000001</v>
      </c>
      <c r="M153" s="57" t="str">
        <f>IF(ISBLANK(Tabela1[[#This Row],[Min]]),"NMin",IF(Tabela1[[#This Row],[Valor]]&lt;Tabela1[[#This Row],[Min]],Tabela1[[#This Row],[Valor]]-Tabela1[[#This Row],[Min]],"Normal"))</f>
        <v>Normal</v>
      </c>
      <c r="N153" s="57" t="str">
        <f>IF(ISBLANK(Tabela1[[#This Row],[Max]]),"NMax",IF(Tabela1[[#This Row],[Valor]]&gt;Tabela1[[#This Row],[Max]],Tabela1[[#This Row],[Valor]]-Tabela1[[#This Row],[Max]],"Normal"))</f>
        <v>Normal</v>
      </c>
    </row>
    <row r="154" spans="2:14" x14ac:dyDescent="0.35">
      <c r="B154" s="33" t="s">
        <v>431</v>
      </c>
      <c r="C154" s="33" t="s">
        <v>95</v>
      </c>
      <c r="D154" s="2" t="s">
        <v>51</v>
      </c>
      <c r="E154" s="2"/>
      <c r="F154" s="3" t="s">
        <v>146</v>
      </c>
      <c r="G154" s="55">
        <v>39462</v>
      </c>
      <c r="H154" s="43">
        <v>14.5</v>
      </c>
      <c r="I154" s="43" t="str" cm="1">
        <f t="array" ref="I15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54" s="43"/>
      <c r="K154" s="43">
        <v>13.7</v>
      </c>
      <c r="L154" s="44">
        <v>17.5</v>
      </c>
      <c r="M154" s="57" t="str">
        <f>IF(ISBLANK(Tabela1[[#This Row],[Min]]),"NMin",IF(Tabela1[[#This Row],[Valor]]&lt;Tabela1[[#This Row],[Min]],Tabela1[[#This Row],[Valor]]-Tabela1[[#This Row],[Min]],"Normal"))</f>
        <v>Normal</v>
      </c>
      <c r="N154" s="57" t="str">
        <f>IF(ISBLANK(Tabela1[[#This Row],[Max]]),"NMax",IF(Tabela1[[#This Row],[Valor]]&gt;Tabela1[[#This Row],[Max]],Tabela1[[#This Row],[Valor]]-Tabela1[[#This Row],[Max]],"Normal"))</f>
        <v>Normal</v>
      </c>
    </row>
    <row r="155" spans="2:14" x14ac:dyDescent="0.35">
      <c r="B155" s="33" t="s">
        <v>431</v>
      </c>
      <c r="C155" s="33" t="s">
        <v>95</v>
      </c>
      <c r="D155" s="2" t="s">
        <v>51</v>
      </c>
      <c r="E155" s="2" t="s">
        <v>96</v>
      </c>
      <c r="F155" s="3" t="s">
        <v>71</v>
      </c>
      <c r="G155" s="55">
        <v>44281</v>
      </c>
      <c r="H155" s="43">
        <v>15.3</v>
      </c>
      <c r="I155" s="43" t="str" cm="1">
        <f t="array" ref="I15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55" s="43"/>
      <c r="K155" s="43">
        <v>13</v>
      </c>
      <c r="L155" s="44">
        <v>17</v>
      </c>
      <c r="M155" s="57" t="str">
        <f>IF(ISBLANK(Tabela1[[#This Row],[Min]]),"NMin",IF(Tabela1[[#This Row],[Valor]]&lt;Tabela1[[#This Row],[Min]],Tabela1[[#This Row],[Valor]]-Tabela1[[#This Row],[Min]],"Normal"))</f>
        <v>Normal</v>
      </c>
      <c r="N155" s="57" t="str">
        <f>IF(ISBLANK(Tabela1[[#This Row],[Max]]),"NMax",IF(Tabela1[[#This Row],[Valor]]&gt;Tabela1[[#This Row],[Max]],Tabela1[[#This Row],[Valor]]-Tabela1[[#This Row],[Max]],"Normal"))</f>
        <v>Normal</v>
      </c>
    </row>
    <row r="156" spans="2:14" x14ac:dyDescent="0.35">
      <c r="B156" s="33" t="s">
        <v>431</v>
      </c>
      <c r="C156" s="33" t="s">
        <v>90</v>
      </c>
      <c r="D156" s="2" t="s">
        <v>51</v>
      </c>
      <c r="E156" s="2" t="s">
        <v>68</v>
      </c>
      <c r="F156" s="3" t="s">
        <v>11</v>
      </c>
      <c r="G156" s="55">
        <v>44625</v>
      </c>
      <c r="H156" s="2" t="s">
        <v>59</v>
      </c>
      <c r="I156" s="43" t="str" cm="1">
        <f t="array" ref="I15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156" s="2"/>
      <c r="K156" s="2"/>
      <c r="L156" s="34"/>
      <c r="M156" s="57" t="str">
        <f>IF(ISBLANK(Tabela1[[#This Row],[Min]]),"NMin",IF(Tabela1[[#This Row],[Valor]]&lt;Tabela1[[#This Row],[Min]],Tabela1[[#This Row],[Valor]]-Tabela1[[#This Row],[Min]],"Normal"))</f>
        <v>NMin</v>
      </c>
      <c r="N156" s="57" t="str">
        <f>IF(ISBLANK(Tabela1[[#This Row],[Max]]),"NMax",IF(Tabela1[[#This Row],[Valor]]&gt;Tabela1[[#This Row],[Max]],Tabela1[[#This Row],[Valor]]-Tabela1[[#This Row],[Max]],"Normal"))</f>
        <v>NMax</v>
      </c>
    </row>
    <row r="157" spans="2:14" x14ac:dyDescent="0.35">
      <c r="B157" s="33" t="s">
        <v>431</v>
      </c>
      <c r="C157" s="33" t="s">
        <v>90</v>
      </c>
      <c r="D157" s="2" t="s">
        <v>51</v>
      </c>
      <c r="E157" s="2" t="s">
        <v>123</v>
      </c>
      <c r="F157" s="3" t="s">
        <v>71</v>
      </c>
      <c r="G157" s="55">
        <v>44281</v>
      </c>
      <c r="H157" s="2" t="s">
        <v>33</v>
      </c>
      <c r="I157" s="43" t="str" cm="1">
        <f t="array" ref="I15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Positivo/Negativo</v>
      </c>
      <c r="J157" s="2"/>
      <c r="K157" s="2"/>
      <c r="L157" s="34"/>
      <c r="M157" s="57" t="str">
        <f>IF(ISBLANK(Tabela1[[#This Row],[Min]]),"NMin",IF(Tabela1[[#This Row],[Valor]]&lt;Tabela1[[#This Row],[Min]],Tabela1[[#This Row],[Valor]]-Tabela1[[#This Row],[Min]],"Normal"))</f>
        <v>NMin</v>
      </c>
      <c r="N157" s="57" t="str">
        <f>IF(ISBLANK(Tabela1[[#This Row],[Max]]),"NMax",IF(Tabela1[[#This Row],[Valor]]&gt;Tabela1[[#This Row],[Max]],Tabela1[[#This Row],[Valor]]-Tabela1[[#This Row],[Max]],"Normal"))</f>
        <v>NMax</v>
      </c>
    </row>
    <row r="158" spans="2:14" x14ac:dyDescent="0.35">
      <c r="B158" s="33" t="s">
        <v>431</v>
      </c>
      <c r="C158" s="33" t="s">
        <v>95</v>
      </c>
      <c r="D158" s="2" t="s">
        <v>124</v>
      </c>
      <c r="E158" s="2"/>
      <c r="F158" s="3" t="s">
        <v>11</v>
      </c>
      <c r="G158" s="55">
        <v>45591</v>
      </c>
      <c r="H158" s="43">
        <v>29.5</v>
      </c>
      <c r="I158" s="43" t="str" cm="1">
        <f t="array" ref="I15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58" s="43"/>
      <c r="K158" s="43">
        <v>26.5</v>
      </c>
      <c r="L158" s="44">
        <v>32.6</v>
      </c>
      <c r="M158" s="57" t="str">
        <f>IF(ISBLANK(Tabela1[[#This Row],[Min]]),"NMin",IF(Tabela1[[#This Row],[Valor]]&lt;Tabela1[[#This Row],[Min]],Tabela1[[#This Row],[Valor]]-Tabela1[[#This Row],[Min]],"Normal"))</f>
        <v>Normal</v>
      </c>
      <c r="N158" s="57" t="str">
        <f>IF(ISBLANK(Tabela1[[#This Row],[Max]]),"NMax",IF(Tabela1[[#This Row],[Valor]]&gt;Tabela1[[#This Row],[Max]],Tabela1[[#This Row],[Valor]]-Tabela1[[#This Row],[Max]],"Normal"))</f>
        <v>Normal</v>
      </c>
    </row>
    <row r="159" spans="2:14" x14ac:dyDescent="0.35">
      <c r="B159" s="33" t="s">
        <v>431</v>
      </c>
      <c r="C159" s="33" t="s">
        <v>95</v>
      </c>
      <c r="D159" s="2" t="s">
        <v>155</v>
      </c>
      <c r="E159" s="2"/>
      <c r="F159" s="3" t="s">
        <v>146</v>
      </c>
      <c r="G159" s="55">
        <v>39462</v>
      </c>
      <c r="H159" s="49">
        <v>4.7E-2</v>
      </c>
      <c r="I159" s="49" t="str" cm="1">
        <f t="array" ref="I15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59" s="61" t="s">
        <v>363</v>
      </c>
      <c r="K159" s="49">
        <v>3.4000000000000002E-2</v>
      </c>
      <c r="L159" s="46">
        <v>0.06</v>
      </c>
      <c r="M159" s="58" t="str">
        <f>IF(ISBLANK(Tabela1[[#This Row],[Min]]),"NMin",IF(Tabela1[[#This Row],[Valor]]&lt;Tabela1[[#This Row],[Min]],Tabela1[[#This Row],[Valor]]-Tabela1[[#This Row],[Min]],"Normal"))</f>
        <v>Normal</v>
      </c>
      <c r="N159" s="57" t="str">
        <f>IF(ISBLANK(Tabela1[[#This Row],[Max]]),"NMax",IF(Tabela1[[#This Row],[Valor]]&gt;Tabela1[[#This Row],[Max]],Tabela1[[#This Row],[Valor]]-Tabela1[[#This Row],[Max]],"Normal"))</f>
        <v>Normal</v>
      </c>
    </row>
    <row r="160" spans="2:14" x14ac:dyDescent="0.35">
      <c r="B160" s="33" t="s">
        <v>431</v>
      </c>
      <c r="C160" s="33" t="s">
        <v>44</v>
      </c>
      <c r="D160" s="2" t="s">
        <v>31</v>
      </c>
      <c r="E160" s="2" t="s">
        <v>32</v>
      </c>
      <c r="F160" s="3" t="s">
        <v>11</v>
      </c>
      <c r="G160" s="55">
        <v>44966</v>
      </c>
      <c r="H160" s="43">
        <v>0.1</v>
      </c>
      <c r="I160" s="43" t="str" cm="1">
        <f t="array" ref="I16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60" s="43"/>
      <c r="K160" s="43"/>
      <c r="L160" s="44">
        <v>0.9</v>
      </c>
      <c r="M160" s="57" t="str">
        <f>IF(ISBLANK(Tabela1[[#This Row],[Min]]),"NMin",IF(Tabela1[[#This Row],[Valor]]&lt;Tabela1[[#This Row],[Min]],Tabela1[[#This Row],[Valor]]-Tabela1[[#This Row],[Min]],"Normal"))</f>
        <v>NMin</v>
      </c>
      <c r="N160" s="57" t="str">
        <f>IF(ISBLANK(Tabela1[[#This Row],[Max]]),"NMax",IF(Tabela1[[#This Row],[Valor]]&gt;Tabela1[[#This Row],[Max]],Tabela1[[#This Row],[Valor]]-Tabela1[[#This Row],[Max]],"Normal"))</f>
        <v>Normal</v>
      </c>
    </row>
    <row r="161" spans="2:14" x14ac:dyDescent="0.35">
      <c r="B161" s="33" t="s">
        <v>431</v>
      </c>
      <c r="C161" s="33" t="s">
        <v>44</v>
      </c>
      <c r="D161" s="2" t="s">
        <v>34</v>
      </c>
      <c r="E161" s="2" t="s">
        <v>32</v>
      </c>
      <c r="F161" s="3" t="s">
        <v>11</v>
      </c>
      <c r="G161" s="55">
        <v>44966</v>
      </c>
      <c r="H161" s="43">
        <v>10.199999999999999</v>
      </c>
      <c r="I161" s="43" t="str" cm="1">
        <f t="array" ref="I16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161" s="43"/>
      <c r="K161" s="43"/>
      <c r="L161" s="44">
        <v>8</v>
      </c>
      <c r="M161" s="57" t="str">
        <f>IF(ISBLANK(Tabela1[[#This Row],[Min]]),"NMin",IF(Tabela1[[#This Row],[Valor]]&lt;Tabela1[[#This Row],[Min]],Tabela1[[#This Row],[Valor]]-Tabela1[[#This Row],[Min]],"Normal"))</f>
        <v>NMin</v>
      </c>
      <c r="N161" s="57">
        <f>IF(ISBLANK(Tabela1[[#This Row],[Max]]),"NMax",IF(Tabela1[[#This Row],[Valor]]&gt;Tabela1[[#This Row],[Max]],Tabela1[[#This Row],[Valor]]-Tabela1[[#This Row],[Max]],"Normal"))</f>
        <v>2.1999999999999993</v>
      </c>
    </row>
    <row r="162" spans="2:14" x14ac:dyDescent="0.35">
      <c r="B162" s="33" t="s">
        <v>431</v>
      </c>
      <c r="C162" s="33" t="s">
        <v>44</v>
      </c>
      <c r="D162" s="2" t="s">
        <v>35</v>
      </c>
      <c r="E162" s="2" t="s">
        <v>32</v>
      </c>
      <c r="F162" s="3" t="s">
        <v>11</v>
      </c>
      <c r="G162" s="55">
        <v>44966</v>
      </c>
      <c r="H162" s="43">
        <v>0.1</v>
      </c>
      <c r="I162" s="43" t="str" cm="1">
        <f t="array" ref="I16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62" s="43"/>
      <c r="K162" s="43"/>
      <c r="L162" s="44">
        <v>0.5</v>
      </c>
      <c r="M162" s="57" t="str">
        <f>IF(ISBLANK(Tabela1[[#This Row],[Min]]),"NMin",IF(Tabela1[[#This Row],[Valor]]&lt;Tabela1[[#This Row],[Min]],Tabela1[[#This Row],[Valor]]-Tabela1[[#This Row],[Min]],"Normal"))</f>
        <v>NMin</v>
      </c>
      <c r="N162" s="57" t="str">
        <f>IF(ISBLANK(Tabela1[[#This Row],[Max]]),"NMax",IF(Tabela1[[#This Row],[Valor]]&gt;Tabela1[[#This Row],[Max]],Tabela1[[#This Row],[Valor]]-Tabela1[[#This Row],[Max]],"Normal"))</f>
        <v>Normal</v>
      </c>
    </row>
    <row r="163" spans="2:14" x14ac:dyDescent="0.35">
      <c r="B163" s="33" t="s">
        <v>431</v>
      </c>
      <c r="C163" s="33" t="s">
        <v>44</v>
      </c>
      <c r="D163" s="2" t="s">
        <v>36</v>
      </c>
      <c r="E163" s="2" t="s">
        <v>32</v>
      </c>
      <c r="F163" s="3" t="s">
        <v>11</v>
      </c>
      <c r="G163" s="55">
        <v>44966</v>
      </c>
      <c r="H163" s="43">
        <v>0.1</v>
      </c>
      <c r="I163" s="43" t="str" cm="1">
        <f t="array" ref="I16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63" s="43"/>
      <c r="K163" s="43"/>
      <c r="L163" s="44">
        <v>0.8</v>
      </c>
      <c r="M163" s="57" t="str">
        <f>IF(ISBLANK(Tabela1[[#This Row],[Min]]),"NMin",IF(Tabela1[[#This Row],[Valor]]&lt;Tabela1[[#This Row],[Min]],Tabela1[[#This Row],[Valor]]-Tabela1[[#This Row],[Min]],"Normal"))</f>
        <v>NMin</v>
      </c>
      <c r="N163" s="57" t="str">
        <f>IF(ISBLANK(Tabela1[[#This Row],[Max]]),"NMax",IF(Tabela1[[#This Row],[Valor]]&gt;Tabela1[[#This Row],[Max]],Tabela1[[#This Row],[Valor]]-Tabela1[[#This Row],[Max]],"Normal"))</f>
        <v>Normal</v>
      </c>
    </row>
    <row r="164" spans="2:14" x14ac:dyDescent="0.35">
      <c r="B164" s="33" t="s">
        <v>431</v>
      </c>
      <c r="C164" s="33" t="s">
        <v>116</v>
      </c>
      <c r="D164" s="2" t="s">
        <v>118</v>
      </c>
      <c r="E164" s="2" t="s">
        <v>120</v>
      </c>
      <c r="F164" s="3" t="s">
        <v>71</v>
      </c>
      <c r="G164" s="55">
        <v>44281</v>
      </c>
      <c r="H164" s="43">
        <v>5</v>
      </c>
      <c r="I164" s="43" t="str" cm="1">
        <f t="array" ref="I16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64" s="43"/>
      <c r="K164" s="43">
        <v>3.5</v>
      </c>
      <c r="L164" s="44">
        <v>5.0999999999999996</v>
      </c>
      <c r="M164" s="57" t="str">
        <f>IF(ISBLANK(Tabela1[[#This Row],[Min]]),"NMin",IF(Tabela1[[#This Row],[Valor]]&lt;Tabela1[[#This Row],[Min]],Tabela1[[#This Row],[Valor]]-Tabela1[[#This Row],[Min]],"Normal"))</f>
        <v>Normal</v>
      </c>
      <c r="N164" s="57" t="str">
        <f>IF(ISBLANK(Tabela1[[#This Row],[Max]]),"NMax",IF(Tabela1[[#This Row],[Valor]]&gt;Tabela1[[#This Row],[Max]],Tabela1[[#This Row],[Valor]]-Tabela1[[#This Row],[Max]],"Normal"))</f>
        <v>Normal</v>
      </c>
    </row>
    <row r="165" spans="2:14" x14ac:dyDescent="0.35">
      <c r="B165" s="33" t="s">
        <v>431</v>
      </c>
      <c r="C165" s="33" t="s">
        <v>97</v>
      </c>
      <c r="D165" s="2" t="s">
        <v>54</v>
      </c>
      <c r="E165" s="2"/>
      <c r="F165" s="3" t="s">
        <v>146</v>
      </c>
      <c r="G165" s="55">
        <v>43115</v>
      </c>
      <c r="H165" s="43">
        <v>3.8</v>
      </c>
      <c r="I165" s="43" t="str" cm="1">
        <f t="array" ref="I16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165" s="43"/>
      <c r="K165" s="43">
        <v>4.5</v>
      </c>
      <c r="L165" s="44">
        <v>11</v>
      </c>
      <c r="M165" s="57">
        <f>IF(ISBLANK(Tabela1[[#This Row],[Min]]),"NMin",IF(Tabela1[[#This Row],[Valor]]&lt;Tabela1[[#This Row],[Min]],Tabela1[[#This Row],[Valor]]-Tabela1[[#This Row],[Min]],"Normal"))</f>
        <v>-0.70000000000000018</v>
      </c>
      <c r="N165" s="57" t="str">
        <f>IF(ISBLANK(Tabela1[[#This Row],[Max]]),"NMax",IF(Tabela1[[#This Row],[Valor]]&gt;Tabela1[[#This Row],[Max]],Tabela1[[#This Row],[Valor]]-Tabela1[[#This Row],[Max]],"Normal"))</f>
        <v>Normal</v>
      </c>
    </row>
    <row r="166" spans="2:14" x14ac:dyDescent="0.35">
      <c r="B166" s="33" t="s">
        <v>431</v>
      </c>
      <c r="C166" s="33" t="s">
        <v>97</v>
      </c>
      <c r="D166" s="2" t="s">
        <v>54</v>
      </c>
      <c r="E166" s="2"/>
      <c r="F166" s="3" t="s">
        <v>11</v>
      </c>
      <c r="G166" s="55">
        <v>43796</v>
      </c>
      <c r="H166" s="43">
        <v>4.1399999999999997</v>
      </c>
      <c r="I166" s="43" t="str" cm="1">
        <f t="array" ref="I16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66" s="43"/>
      <c r="K166" s="43">
        <v>3.4</v>
      </c>
      <c r="L166" s="44">
        <v>9.6</v>
      </c>
      <c r="M166" s="57" t="str">
        <f>IF(ISBLANK(Tabela1[[#This Row],[Min]]),"NMin",IF(Tabela1[[#This Row],[Valor]]&lt;Tabela1[[#This Row],[Min]],Tabela1[[#This Row],[Valor]]-Tabela1[[#This Row],[Min]],"Normal"))</f>
        <v>Normal</v>
      </c>
      <c r="N166" s="57" t="str">
        <f>IF(ISBLANK(Tabela1[[#This Row],[Max]]),"NMax",IF(Tabela1[[#This Row],[Valor]]&gt;Tabela1[[#This Row],[Max]],Tabela1[[#This Row],[Valor]]-Tabela1[[#This Row],[Max]],"Normal"))</f>
        <v>Normal</v>
      </c>
    </row>
    <row r="167" spans="2:14" x14ac:dyDescent="0.35">
      <c r="B167" s="33" t="s">
        <v>431</v>
      </c>
      <c r="C167" s="33" t="s">
        <v>97</v>
      </c>
      <c r="D167" s="2" t="s">
        <v>54</v>
      </c>
      <c r="E167" s="2" t="s">
        <v>96</v>
      </c>
      <c r="F167" s="3" t="s">
        <v>71</v>
      </c>
      <c r="G167" s="55">
        <v>44281</v>
      </c>
      <c r="H167" s="43">
        <v>5.2</v>
      </c>
      <c r="I167" s="43" t="str" cm="1">
        <f t="array" ref="I16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67" s="43"/>
      <c r="K167" s="43">
        <v>4</v>
      </c>
      <c r="L167" s="44">
        <v>10</v>
      </c>
      <c r="M167" s="57" t="str">
        <f>IF(ISBLANK(Tabela1[[#This Row],[Min]]),"NMin",IF(Tabela1[[#This Row],[Valor]]&lt;Tabela1[[#This Row],[Min]],Tabela1[[#This Row],[Valor]]-Tabela1[[#This Row],[Min]],"Normal"))</f>
        <v>Normal</v>
      </c>
      <c r="N167" s="57" t="str">
        <f>IF(ISBLANK(Tabela1[[#This Row],[Max]]),"NMax",IF(Tabela1[[#This Row],[Valor]]&gt;Tabela1[[#This Row],[Max]],Tabela1[[#This Row],[Valor]]-Tabela1[[#This Row],[Max]],"Normal"))</f>
        <v>Normal</v>
      </c>
    </row>
    <row r="168" spans="2:14" x14ac:dyDescent="0.35">
      <c r="B168" s="33" t="s">
        <v>431</v>
      </c>
      <c r="C168" s="33" t="s">
        <v>95</v>
      </c>
      <c r="D168" s="2" t="s">
        <v>181</v>
      </c>
      <c r="E168" s="2"/>
      <c r="F168" s="3" t="s">
        <v>11</v>
      </c>
      <c r="G168" s="55">
        <v>45591</v>
      </c>
      <c r="H168" s="49">
        <v>0.42399999999999999</v>
      </c>
      <c r="I168" s="49" t="str" cm="1">
        <f t="array" ref="I16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68" s="61" t="s">
        <v>363</v>
      </c>
      <c r="K168" s="49">
        <v>0.38300000000000001</v>
      </c>
      <c r="L168" s="46">
        <v>0.48599999999999999</v>
      </c>
      <c r="M168" s="58" t="str">
        <f>IF(ISBLANK(Tabela1[[#This Row],[Min]]),"NMin",IF(Tabela1[[#This Row],[Valor]]&lt;Tabela1[[#This Row],[Min]],Tabela1[[#This Row],[Valor]]-Tabela1[[#This Row],[Min]],"Normal"))</f>
        <v>Normal</v>
      </c>
      <c r="N168" s="57" t="str">
        <f>IF(ISBLANK(Tabela1[[#This Row],[Max]]),"NMax",IF(Tabela1[[#This Row],[Valor]]&gt;Tabela1[[#This Row],[Max]],Tabela1[[#This Row],[Valor]]-Tabela1[[#This Row],[Max]],"Normal"))</f>
        <v>Normal</v>
      </c>
    </row>
    <row r="169" spans="2:14" x14ac:dyDescent="0.35">
      <c r="B169" s="33" t="s">
        <v>431</v>
      </c>
      <c r="C169" s="33" t="s">
        <v>90</v>
      </c>
      <c r="D169" s="2" t="s">
        <v>62</v>
      </c>
      <c r="E169" s="2" t="s">
        <v>69</v>
      </c>
      <c r="F169" s="3" t="s">
        <v>11</v>
      </c>
      <c r="G169" s="55">
        <v>44625</v>
      </c>
      <c r="H169" s="43">
        <v>15</v>
      </c>
      <c r="I169" s="43" t="str" cm="1">
        <f t="array" ref="I16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69" s="43"/>
      <c r="K169" s="43"/>
      <c r="L169" s="44">
        <v>25</v>
      </c>
      <c r="M169" s="57" t="str">
        <f>IF(ISBLANK(Tabela1[[#This Row],[Min]]),"NMin",IF(Tabela1[[#This Row],[Valor]]&lt;Tabela1[[#This Row],[Min]],Tabela1[[#This Row],[Valor]]-Tabela1[[#This Row],[Min]],"Normal"))</f>
        <v>NMin</v>
      </c>
      <c r="N169" s="57" t="str">
        <f>IF(ISBLANK(Tabela1[[#This Row],[Max]]),"NMax",IF(Tabela1[[#This Row],[Valor]]&gt;Tabela1[[#This Row],[Max]],Tabela1[[#This Row],[Valor]]-Tabela1[[#This Row],[Max]],"Normal"))</f>
        <v>Normal</v>
      </c>
    </row>
    <row r="170" spans="2:14" x14ac:dyDescent="0.35">
      <c r="B170" s="33" t="s">
        <v>431</v>
      </c>
      <c r="C170" s="33" t="s">
        <v>90</v>
      </c>
      <c r="D170" s="2" t="s">
        <v>62</v>
      </c>
      <c r="E170" s="2" t="s">
        <v>123</v>
      </c>
      <c r="F170" s="3" t="s">
        <v>71</v>
      </c>
      <c r="G170" s="55">
        <v>44281</v>
      </c>
      <c r="H170" s="2" t="s">
        <v>33</v>
      </c>
      <c r="I170" s="43" t="str" cm="1">
        <f t="array" ref="I17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Positivo/Negativo</v>
      </c>
      <c r="J170" s="2"/>
      <c r="K170" s="2"/>
      <c r="L170" s="34"/>
      <c r="M170" s="57" t="str">
        <f>IF(ISBLANK(Tabela1[[#This Row],[Min]]),"NMin",IF(Tabela1[[#This Row],[Valor]]&lt;Tabela1[[#This Row],[Min]],Tabela1[[#This Row],[Valor]]-Tabela1[[#This Row],[Min]],"Normal"))</f>
        <v>NMin</v>
      </c>
      <c r="N170" s="57" t="str">
        <f>IF(ISBLANK(Tabela1[[#This Row],[Max]]),"NMax",IF(Tabela1[[#This Row],[Valor]]&gt;Tabela1[[#This Row],[Max]],Tabela1[[#This Row],[Valor]]-Tabela1[[#This Row],[Max]],"Normal"))</f>
        <v>NMax</v>
      </c>
    </row>
    <row r="171" spans="2:14" x14ac:dyDescent="0.35">
      <c r="B171" s="33" t="s">
        <v>431</v>
      </c>
      <c r="C171" s="33" t="s">
        <v>90</v>
      </c>
      <c r="D171" s="2" t="s">
        <v>65</v>
      </c>
      <c r="E171" s="2" t="s">
        <v>69</v>
      </c>
      <c r="F171" s="3" t="s">
        <v>11</v>
      </c>
      <c r="G171" s="55">
        <v>44625</v>
      </c>
      <c r="H171" s="43">
        <v>3</v>
      </c>
      <c r="I171" s="43" t="str" cm="1">
        <f t="array" ref="I17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171" s="43"/>
      <c r="K171" s="43"/>
      <c r="L171" s="44"/>
      <c r="M171" s="57" t="str">
        <f>IF(ISBLANK(Tabela1[[#This Row],[Min]]),"NMin",IF(Tabela1[[#This Row],[Valor]]&lt;Tabela1[[#This Row],[Min]],Tabela1[[#This Row],[Valor]]-Tabela1[[#This Row],[Min]],"Normal"))</f>
        <v>NMin</v>
      </c>
      <c r="N171" s="57" t="str">
        <f>IF(ISBLANK(Tabela1[[#This Row],[Max]]),"NMax",IF(Tabela1[[#This Row],[Valor]]&gt;Tabela1[[#This Row],[Max]],Tabela1[[#This Row],[Valor]]-Tabela1[[#This Row],[Max]],"Normal"))</f>
        <v>NMax</v>
      </c>
    </row>
    <row r="172" spans="2:14" x14ac:dyDescent="0.35">
      <c r="B172" s="33" t="s">
        <v>431</v>
      </c>
      <c r="C172" s="33" t="s">
        <v>97</v>
      </c>
      <c r="D172" s="2" t="s">
        <v>101</v>
      </c>
      <c r="E172" s="2"/>
      <c r="F172" s="3" t="s">
        <v>11</v>
      </c>
      <c r="G172" s="55">
        <v>43796</v>
      </c>
      <c r="H172" s="43">
        <v>1.59</v>
      </c>
      <c r="I172" s="43" t="str" cm="1">
        <f t="array" ref="I17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72" s="43"/>
      <c r="K172" s="43">
        <v>0.95</v>
      </c>
      <c r="L172" s="44">
        <v>3.07</v>
      </c>
      <c r="M172" s="57" t="str">
        <f>IF(ISBLANK(Tabela1[[#This Row],[Min]]),"NMin",IF(Tabela1[[#This Row],[Valor]]&lt;Tabela1[[#This Row],[Min]],Tabela1[[#This Row],[Valor]]-Tabela1[[#This Row],[Min]],"Normal"))</f>
        <v>Normal</v>
      </c>
      <c r="N172" s="57" t="str">
        <f>IF(ISBLANK(Tabela1[[#This Row],[Max]]),"NMax",IF(Tabela1[[#This Row],[Valor]]&gt;Tabela1[[#This Row],[Max]],Tabela1[[#This Row],[Valor]]-Tabela1[[#This Row],[Max]],"Normal"))</f>
        <v>Normal</v>
      </c>
    </row>
    <row r="173" spans="2:14" x14ac:dyDescent="0.35">
      <c r="B173" s="33" t="s">
        <v>431</v>
      </c>
      <c r="C173" s="33" t="s">
        <v>95</v>
      </c>
      <c r="D173" s="2" t="s">
        <v>51</v>
      </c>
      <c r="E173" s="2"/>
      <c r="F173" s="3" t="s">
        <v>11</v>
      </c>
      <c r="G173" s="55">
        <v>45591</v>
      </c>
      <c r="H173" s="43">
        <v>14.8</v>
      </c>
      <c r="I173" s="43" t="str" cm="1">
        <f t="array" ref="I17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73" s="43"/>
      <c r="K173" s="43">
        <v>13.2</v>
      </c>
      <c r="L173" s="44">
        <v>16.600000000000001</v>
      </c>
      <c r="M173" s="57" t="str">
        <f>IF(ISBLANK(Tabela1[[#This Row],[Min]]),"NMin",IF(Tabela1[[#This Row],[Valor]]&lt;Tabela1[[#This Row],[Min]],Tabela1[[#This Row],[Valor]]-Tabela1[[#This Row],[Min]],"Normal"))</f>
        <v>Normal</v>
      </c>
      <c r="N173" s="57" t="str">
        <f>IF(ISBLANK(Tabela1[[#This Row],[Max]]),"NMax",IF(Tabela1[[#This Row],[Valor]]&gt;Tabela1[[#This Row],[Max]],Tabela1[[#This Row],[Valor]]-Tabela1[[#This Row],[Max]],"Normal"))</f>
        <v>Normal</v>
      </c>
    </row>
    <row r="174" spans="2:14" x14ac:dyDescent="0.35">
      <c r="B174" s="33" t="s">
        <v>431</v>
      </c>
      <c r="C174" s="33" t="s">
        <v>97</v>
      </c>
      <c r="D174" s="2" t="s">
        <v>129</v>
      </c>
      <c r="E174" s="2" t="s">
        <v>96</v>
      </c>
      <c r="F174" s="3" t="s">
        <v>71</v>
      </c>
      <c r="G174" s="55">
        <v>44281</v>
      </c>
      <c r="H174" s="4">
        <v>0.30399999999999999</v>
      </c>
      <c r="I174" s="4" t="str" cm="1">
        <f t="array" ref="I17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74" s="61" t="s">
        <v>363</v>
      </c>
      <c r="K174" s="8">
        <v>0.2</v>
      </c>
      <c r="L174" s="45">
        <v>0.4</v>
      </c>
      <c r="M174" s="58" t="str">
        <f>IF(ISBLANK(Tabela1[[#This Row],[Min]]),"NMin",IF(Tabela1[[#This Row],[Valor]]&lt;Tabela1[[#This Row],[Min]],Tabela1[[#This Row],[Valor]]-Tabela1[[#This Row],[Min]],"Normal"))</f>
        <v>Normal</v>
      </c>
      <c r="N174" s="57" t="str">
        <f>IF(ISBLANK(Tabela1[[#This Row],[Max]]),"NMax",IF(Tabela1[[#This Row],[Valor]]&gt;Tabela1[[#This Row],[Max]],Tabela1[[#This Row],[Valor]]-Tabela1[[#This Row],[Max]],"Normal"))</f>
        <v>Normal</v>
      </c>
    </row>
    <row r="175" spans="2:14" x14ac:dyDescent="0.35">
      <c r="B175" s="33" t="s">
        <v>431</v>
      </c>
      <c r="C175" s="33" t="s">
        <v>97</v>
      </c>
      <c r="D175" s="2" t="s">
        <v>129</v>
      </c>
      <c r="E175" s="2"/>
      <c r="F175" s="3" t="s">
        <v>11</v>
      </c>
      <c r="G175" s="55">
        <v>43796</v>
      </c>
      <c r="H175" s="4">
        <v>0.38400000000000001</v>
      </c>
      <c r="I175" s="4" t="str" cm="1">
        <f t="array" ref="I17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75" s="61" t="s">
        <v>363</v>
      </c>
      <c r="K175" s="8">
        <v>0.2</v>
      </c>
      <c r="L175" s="45">
        <v>0.4</v>
      </c>
      <c r="M175" s="58" t="str">
        <f>IF(ISBLANK(Tabela1[[#This Row],[Min]]),"NMin",IF(Tabela1[[#This Row],[Valor]]&lt;Tabela1[[#This Row],[Min]],Tabela1[[#This Row],[Valor]]-Tabela1[[#This Row],[Min]],"Normal"))</f>
        <v>Normal</v>
      </c>
      <c r="N175" s="57" t="str">
        <f>IF(ISBLANK(Tabela1[[#This Row],[Max]]),"NMax",IF(Tabela1[[#This Row],[Valor]]&gt;Tabela1[[#This Row],[Max]],Tabela1[[#This Row],[Valor]]-Tabela1[[#This Row],[Max]],"Normal"))</f>
        <v>Normal</v>
      </c>
    </row>
    <row r="176" spans="2:14" x14ac:dyDescent="0.35">
      <c r="B176" s="33" t="s">
        <v>431</v>
      </c>
      <c r="C176" s="33" t="s">
        <v>97</v>
      </c>
      <c r="D176" s="2" t="s">
        <v>129</v>
      </c>
      <c r="E176" s="2"/>
      <c r="F176" s="3" t="s">
        <v>146</v>
      </c>
      <c r="G176" s="55">
        <v>39462</v>
      </c>
      <c r="H176" s="4">
        <v>0.38700000000000001</v>
      </c>
      <c r="I176" s="4" t="str" cm="1">
        <f t="array" ref="I17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76" s="61" t="s">
        <v>363</v>
      </c>
      <c r="K176" s="8">
        <v>0.2</v>
      </c>
      <c r="L176" s="45">
        <v>0.4</v>
      </c>
      <c r="M176" s="58" t="str">
        <f>IF(ISBLANK(Tabela1[[#This Row],[Min]]),"NMin",IF(Tabela1[[#This Row],[Valor]]&lt;Tabela1[[#This Row],[Min]],Tabela1[[#This Row],[Valor]]-Tabela1[[#This Row],[Min]],"Normal"))</f>
        <v>Normal</v>
      </c>
      <c r="N176" s="57" t="str">
        <f>IF(ISBLANK(Tabela1[[#This Row],[Max]]),"NMax",IF(Tabela1[[#This Row],[Valor]]&gt;Tabela1[[#This Row],[Max]],Tabela1[[#This Row],[Valor]]-Tabela1[[#This Row],[Max]],"Normal"))</f>
        <v>Normal</v>
      </c>
    </row>
    <row r="177" spans="2:14" x14ac:dyDescent="0.35">
      <c r="B177" s="33" t="s">
        <v>431</v>
      </c>
      <c r="C177" s="33" t="s">
        <v>97</v>
      </c>
      <c r="D177" s="2" t="s">
        <v>54</v>
      </c>
      <c r="E177" s="2"/>
      <c r="F177" s="3" t="s">
        <v>11</v>
      </c>
      <c r="G177" s="55">
        <v>45591</v>
      </c>
      <c r="H177" s="43">
        <v>4.12</v>
      </c>
      <c r="I177" s="43" t="str" cm="1">
        <f t="array" ref="I17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77" s="43"/>
      <c r="K177" s="43">
        <v>3.4</v>
      </c>
      <c r="L177" s="44">
        <v>9.6</v>
      </c>
      <c r="M177" s="57" t="str">
        <f>IF(ISBLANK(Tabela1[[#This Row],[Min]]),"NMin",IF(Tabela1[[#This Row],[Valor]]&lt;Tabela1[[#This Row],[Min]],Tabela1[[#This Row],[Valor]]-Tabela1[[#This Row],[Min]],"Normal"))</f>
        <v>Normal</v>
      </c>
      <c r="N177" s="57" t="str">
        <f>IF(ISBLANK(Tabela1[[#This Row],[Max]]),"NMax",IF(Tabela1[[#This Row],[Valor]]&gt;Tabela1[[#This Row],[Max]],Tabela1[[#This Row],[Valor]]-Tabela1[[#This Row],[Max]],"Normal"))</f>
        <v>Normal</v>
      </c>
    </row>
    <row r="178" spans="2:14" x14ac:dyDescent="0.35">
      <c r="B178" s="33" t="s">
        <v>431</v>
      </c>
      <c r="C178" s="33" t="s">
        <v>44</v>
      </c>
      <c r="D178" s="2" t="s">
        <v>137</v>
      </c>
      <c r="E178" s="2" t="s">
        <v>138</v>
      </c>
      <c r="F178" s="3" t="s">
        <v>11</v>
      </c>
      <c r="G178" s="55">
        <v>43796</v>
      </c>
      <c r="H178" s="43">
        <v>1.8</v>
      </c>
      <c r="I178" s="43" t="str" cm="1">
        <f t="array" ref="I17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78" s="43"/>
      <c r="K178" s="43">
        <v>1.6</v>
      </c>
      <c r="L178" s="44">
        <v>2.6</v>
      </c>
      <c r="M178" s="57" t="str">
        <f>IF(ISBLANK(Tabela1[[#This Row],[Min]]),"NMin",IF(Tabela1[[#This Row],[Valor]]&lt;Tabela1[[#This Row],[Min]],Tabela1[[#This Row],[Valor]]-Tabela1[[#This Row],[Min]],"Normal"))</f>
        <v>Normal</v>
      </c>
      <c r="N178" s="57" t="str">
        <f>IF(ISBLANK(Tabela1[[#This Row],[Max]]),"NMax",IF(Tabela1[[#This Row],[Valor]]&gt;Tabela1[[#This Row],[Max]],Tabela1[[#This Row],[Valor]]-Tabela1[[#This Row],[Max]],"Normal"))</f>
        <v>Normal</v>
      </c>
    </row>
    <row r="179" spans="2:14" x14ac:dyDescent="0.35">
      <c r="B179" s="33" t="s">
        <v>431</v>
      </c>
      <c r="C179" s="33" t="s">
        <v>44</v>
      </c>
      <c r="D179" s="2" t="s">
        <v>137</v>
      </c>
      <c r="E179" s="2"/>
      <c r="F179" s="3" t="s">
        <v>146</v>
      </c>
      <c r="G179" s="55">
        <v>39462</v>
      </c>
      <c r="H179" s="43">
        <v>2.1</v>
      </c>
      <c r="I179" s="43" t="str" cm="1">
        <f t="array" ref="I17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79" s="43"/>
      <c r="K179" s="43">
        <v>1.6</v>
      </c>
      <c r="L179" s="44">
        <v>2.8</v>
      </c>
      <c r="M179" s="57" t="str">
        <f>IF(ISBLANK(Tabela1[[#This Row],[Min]]),"NMin",IF(Tabela1[[#This Row],[Valor]]&lt;Tabela1[[#This Row],[Min]],Tabela1[[#This Row],[Valor]]-Tabela1[[#This Row],[Min]],"Normal"))</f>
        <v>Normal</v>
      </c>
      <c r="N179" s="57" t="str">
        <f>IF(ISBLANK(Tabela1[[#This Row],[Max]]),"NMax",IF(Tabela1[[#This Row],[Valor]]&gt;Tabela1[[#This Row],[Max]],Tabela1[[#This Row],[Valor]]-Tabela1[[#This Row],[Max]],"Normal"))</f>
        <v>Normal</v>
      </c>
    </row>
    <row r="180" spans="2:14" x14ac:dyDescent="0.35">
      <c r="B180" s="33" t="s">
        <v>431</v>
      </c>
      <c r="C180" s="33" t="s">
        <v>93</v>
      </c>
      <c r="D180" s="2" t="s">
        <v>87</v>
      </c>
      <c r="E180" s="2" t="s">
        <v>86</v>
      </c>
      <c r="F180" s="3" t="s">
        <v>71</v>
      </c>
      <c r="G180" s="55">
        <v>44285</v>
      </c>
      <c r="H180" s="43">
        <v>70</v>
      </c>
      <c r="I180" s="43" t="str" cm="1">
        <f t="array" ref="I18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80" s="43"/>
      <c r="K180" s="43"/>
      <c r="L180" s="44">
        <v>341</v>
      </c>
      <c r="M180" s="57" t="str">
        <f>IF(ISBLANK(Tabela1[[#This Row],[Min]]),"NMin",IF(Tabela1[[#This Row],[Valor]]&lt;Tabela1[[#This Row],[Min]],Tabela1[[#This Row],[Valor]]-Tabela1[[#This Row],[Min]],"Normal"))</f>
        <v>NMin</v>
      </c>
      <c r="N180" s="57" t="str">
        <f>IF(ISBLANK(Tabela1[[#This Row],[Max]]),"NMax",IF(Tabela1[[#This Row],[Valor]]&gt;Tabela1[[#This Row],[Max]],Tabela1[[#This Row],[Valor]]-Tabela1[[#This Row],[Max]],"Normal"))</f>
        <v>Normal</v>
      </c>
    </row>
    <row r="181" spans="2:14" x14ac:dyDescent="0.35">
      <c r="B181" s="33" t="s">
        <v>431</v>
      </c>
      <c r="C181" s="33" t="s">
        <v>97</v>
      </c>
      <c r="D181" s="2" t="s">
        <v>101</v>
      </c>
      <c r="E181" s="2"/>
      <c r="F181" s="3" t="s">
        <v>11</v>
      </c>
      <c r="G181" s="55">
        <v>45622</v>
      </c>
      <c r="H181" s="43">
        <v>1.35</v>
      </c>
      <c r="I181" s="43" t="str" cm="1">
        <f t="array" ref="I18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81" s="43"/>
      <c r="K181" s="43">
        <v>0.95</v>
      </c>
      <c r="L181" s="44">
        <v>3.07</v>
      </c>
      <c r="M181" s="57" t="str">
        <f>IF(ISBLANK(Tabela1[[#This Row],[Min]]),"NMin",IF(Tabela1[[#This Row],[Valor]]&lt;Tabela1[[#This Row],[Min]],Tabela1[[#This Row],[Valor]]-Tabela1[[#This Row],[Min]],"Normal"))</f>
        <v>Normal</v>
      </c>
      <c r="N181" s="57" t="str">
        <f>IF(ISBLANK(Tabela1[[#This Row],[Max]]),"NMax",IF(Tabela1[[#This Row],[Valor]]&gt;Tabela1[[#This Row],[Max]],Tabela1[[#This Row],[Valor]]-Tabela1[[#This Row],[Max]],"Normal"))</f>
        <v>Normal</v>
      </c>
    </row>
    <row r="182" spans="2:14" x14ac:dyDescent="0.35">
      <c r="B182" s="33" t="s">
        <v>431</v>
      </c>
      <c r="C182" s="33" t="s">
        <v>97</v>
      </c>
      <c r="D182" s="2" t="s">
        <v>102</v>
      </c>
      <c r="E182" s="2"/>
      <c r="F182" s="3" t="s">
        <v>11</v>
      </c>
      <c r="G182" s="55">
        <v>43796</v>
      </c>
      <c r="H182" s="43">
        <v>0.21099999999999999</v>
      </c>
      <c r="I182" s="43" t="str" cm="1">
        <f t="array" ref="I18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182" s="43"/>
      <c r="K182" s="43">
        <v>0.26</v>
      </c>
      <c r="L182" s="44">
        <v>0.81</v>
      </c>
      <c r="M182" s="57">
        <f>IF(ISBLANK(Tabela1[[#This Row],[Min]]),"NMin",IF(Tabela1[[#This Row],[Valor]]&lt;Tabela1[[#This Row],[Min]],Tabela1[[#This Row],[Valor]]-Tabela1[[#This Row],[Min]],"Normal"))</f>
        <v>-4.9000000000000016E-2</v>
      </c>
      <c r="N182" s="57" t="str">
        <f>IF(ISBLANK(Tabela1[[#This Row],[Max]]),"NMax",IF(Tabela1[[#This Row],[Valor]]&gt;Tabela1[[#This Row],[Max]],Tabela1[[#This Row],[Valor]]-Tabela1[[#This Row],[Max]],"Normal"))</f>
        <v>Normal</v>
      </c>
    </row>
    <row r="183" spans="2:14" x14ac:dyDescent="0.35">
      <c r="B183" s="33" t="s">
        <v>431</v>
      </c>
      <c r="C183" s="33" t="s">
        <v>97</v>
      </c>
      <c r="D183" s="2" t="s">
        <v>130</v>
      </c>
      <c r="E183" s="2"/>
      <c r="F183" s="3" t="s">
        <v>11</v>
      </c>
      <c r="G183" s="55">
        <v>43796</v>
      </c>
      <c r="H183" s="49">
        <v>5.0999999999999997E-2</v>
      </c>
      <c r="I183" s="49" t="str" cm="1">
        <f t="array" ref="I18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83" s="61" t="s">
        <v>363</v>
      </c>
      <c r="K183" s="49">
        <v>0.02</v>
      </c>
      <c r="L183" s="46">
        <v>0.1</v>
      </c>
      <c r="M183" s="58" t="str">
        <f>IF(ISBLANK(Tabela1[[#This Row],[Min]]),"NMin",IF(Tabela1[[#This Row],[Valor]]&lt;Tabela1[[#This Row],[Min]],Tabela1[[#This Row],[Valor]]-Tabela1[[#This Row],[Min]],"Normal"))</f>
        <v>Normal</v>
      </c>
      <c r="N183" s="57" t="str">
        <f>IF(ISBLANK(Tabela1[[#This Row],[Max]]),"NMax",IF(Tabela1[[#This Row],[Valor]]&gt;Tabela1[[#This Row],[Max]],Tabela1[[#This Row],[Valor]]-Tabela1[[#This Row],[Max]],"Normal"))</f>
        <v>Normal</v>
      </c>
    </row>
    <row r="184" spans="2:14" x14ac:dyDescent="0.35">
      <c r="B184" s="33" t="s">
        <v>431</v>
      </c>
      <c r="C184" s="33" t="s">
        <v>97</v>
      </c>
      <c r="D184" s="2" t="s">
        <v>130</v>
      </c>
      <c r="E184" s="2" t="s">
        <v>96</v>
      </c>
      <c r="F184" s="3" t="s">
        <v>71</v>
      </c>
      <c r="G184" s="55">
        <v>44281</v>
      </c>
      <c r="H184" s="49">
        <v>3.3000000000000002E-2</v>
      </c>
      <c r="I184" s="49" t="str" cm="1">
        <f t="array" ref="I18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84" s="61" t="s">
        <v>363</v>
      </c>
      <c r="K184" s="49">
        <v>0.02</v>
      </c>
      <c r="L184" s="46">
        <v>0.1</v>
      </c>
      <c r="M184" s="58" t="str">
        <f>IF(ISBLANK(Tabela1[[#This Row],[Min]]),"NMin",IF(Tabela1[[#This Row],[Valor]]&lt;Tabela1[[#This Row],[Min]],Tabela1[[#This Row],[Valor]]-Tabela1[[#This Row],[Min]],"Normal"))</f>
        <v>Normal</v>
      </c>
      <c r="N184" s="57" t="str">
        <f>IF(ISBLANK(Tabela1[[#This Row],[Max]]),"NMax",IF(Tabela1[[#This Row],[Valor]]&gt;Tabela1[[#This Row],[Max]],Tabela1[[#This Row],[Valor]]-Tabela1[[#This Row],[Max]],"Normal"))</f>
        <v>Normal</v>
      </c>
    </row>
    <row r="185" spans="2:14" x14ac:dyDescent="0.35">
      <c r="B185" s="33" t="s">
        <v>431</v>
      </c>
      <c r="C185" s="33" t="s">
        <v>97</v>
      </c>
      <c r="D185" s="2" t="s">
        <v>102</v>
      </c>
      <c r="E185" s="2"/>
      <c r="F185" s="3" t="s">
        <v>11</v>
      </c>
      <c r="G185" s="55">
        <v>45591</v>
      </c>
      <c r="H185" s="43">
        <v>0.2</v>
      </c>
      <c r="I185" s="43" t="str" cm="1">
        <f t="array" ref="I18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185" s="43"/>
      <c r="K185" s="43">
        <v>0.26</v>
      </c>
      <c r="L185" s="44">
        <v>0.81</v>
      </c>
      <c r="M185" s="57">
        <f>IF(ISBLANK(Tabela1[[#This Row],[Min]]),"NMin",IF(Tabela1[[#This Row],[Valor]]&lt;Tabela1[[#This Row],[Min]],Tabela1[[#This Row],[Valor]]-Tabela1[[#This Row],[Min]],"Normal"))</f>
        <v>-0.06</v>
      </c>
      <c r="N185" s="57" t="str">
        <f>IF(ISBLANK(Tabela1[[#This Row],[Max]]),"NMax",IF(Tabela1[[#This Row],[Valor]]&gt;Tabela1[[#This Row],[Max]],Tabela1[[#This Row],[Valor]]-Tabela1[[#This Row],[Max]],"Normal"))</f>
        <v>Normal</v>
      </c>
    </row>
    <row r="186" spans="2:14" x14ac:dyDescent="0.35">
      <c r="B186" s="33" t="s">
        <v>431</v>
      </c>
      <c r="C186" s="33" t="s">
        <v>97</v>
      </c>
      <c r="D186" s="2" t="s">
        <v>129</v>
      </c>
      <c r="E186" s="2"/>
      <c r="F186" s="3" t="s">
        <v>11</v>
      </c>
      <c r="G186" s="55">
        <v>45591</v>
      </c>
      <c r="H186" s="4">
        <v>0.32800000000000001</v>
      </c>
      <c r="I186" s="4" t="str" cm="1">
        <f t="array" ref="I18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86" s="61" t="s">
        <v>363</v>
      </c>
      <c r="K186" s="8">
        <v>0.2</v>
      </c>
      <c r="L186" s="45">
        <v>0.4</v>
      </c>
      <c r="M186" s="58" t="str">
        <f>IF(ISBLANK(Tabela1[[#This Row],[Min]]),"NMin",IF(Tabela1[[#This Row],[Valor]]&lt;Tabela1[[#This Row],[Min]],Tabela1[[#This Row],[Valor]]-Tabela1[[#This Row],[Min]],"Normal"))</f>
        <v>Normal</v>
      </c>
      <c r="N186" s="57" t="str">
        <f>IF(ISBLANK(Tabela1[[#This Row],[Max]]),"NMax",IF(Tabela1[[#This Row],[Valor]]&gt;Tabela1[[#This Row],[Max]],Tabela1[[#This Row],[Valor]]-Tabela1[[#This Row],[Max]],"Normal"))</f>
        <v>Normal</v>
      </c>
    </row>
    <row r="187" spans="2:14" x14ac:dyDescent="0.35">
      <c r="B187" s="33" t="s">
        <v>431</v>
      </c>
      <c r="C187" s="33" t="s">
        <v>116</v>
      </c>
      <c r="D187" s="2" t="s">
        <v>117</v>
      </c>
      <c r="E187" s="2" t="s">
        <v>120</v>
      </c>
      <c r="F187" s="3" t="s">
        <v>71</v>
      </c>
      <c r="G187" s="55">
        <v>44281</v>
      </c>
      <c r="H187" s="43">
        <v>141</v>
      </c>
      <c r="I187" s="43" t="str" cm="1">
        <f t="array" ref="I18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87" s="43"/>
      <c r="K187" s="43">
        <v>136</v>
      </c>
      <c r="L187" s="44">
        <v>145</v>
      </c>
      <c r="M187" s="57" t="str">
        <f>IF(ISBLANK(Tabela1[[#This Row],[Min]]),"NMin",IF(Tabela1[[#This Row],[Valor]]&lt;Tabela1[[#This Row],[Min]],Tabela1[[#This Row],[Valor]]-Tabela1[[#This Row],[Min]],"Normal"))</f>
        <v>Normal</v>
      </c>
      <c r="N187" s="57" t="str">
        <f>IF(ISBLANK(Tabela1[[#This Row],[Max]]),"NMax",IF(Tabela1[[#This Row],[Valor]]&gt;Tabela1[[#This Row],[Max]],Tabela1[[#This Row],[Valor]]-Tabela1[[#This Row],[Max]],"Normal"))</f>
        <v>Normal</v>
      </c>
    </row>
    <row r="188" spans="2:14" x14ac:dyDescent="0.35">
      <c r="B188" s="33" t="s">
        <v>431</v>
      </c>
      <c r="C188" s="33" t="s">
        <v>97</v>
      </c>
      <c r="D188" s="2" t="s">
        <v>98</v>
      </c>
      <c r="E188" s="2"/>
      <c r="F188" s="3" t="s">
        <v>11</v>
      </c>
      <c r="G188" s="55">
        <v>43796</v>
      </c>
      <c r="H188" s="43">
        <v>2.2690000000000001</v>
      </c>
      <c r="I188" s="43" t="str" cm="1">
        <f t="array" ref="I18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88" s="43"/>
      <c r="K188" s="43">
        <v>1.56</v>
      </c>
      <c r="L188" s="44">
        <v>6.45</v>
      </c>
      <c r="M188" s="57" t="str">
        <f>IF(ISBLANK(Tabela1[[#This Row],[Min]]),"NMin",IF(Tabela1[[#This Row],[Valor]]&lt;Tabela1[[#This Row],[Min]],Tabela1[[#This Row],[Valor]]-Tabela1[[#This Row],[Min]],"Normal"))</f>
        <v>Normal</v>
      </c>
      <c r="N188" s="57" t="str">
        <f>IF(ISBLANK(Tabela1[[#This Row],[Max]]),"NMax",IF(Tabela1[[#This Row],[Valor]]&gt;Tabela1[[#This Row],[Max]],Tabela1[[#This Row],[Valor]]-Tabela1[[#This Row],[Max]],"Normal"))</f>
        <v>Normal</v>
      </c>
    </row>
    <row r="189" spans="2:14" x14ac:dyDescent="0.35">
      <c r="B189" s="33" t="s">
        <v>431</v>
      </c>
      <c r="C189" s="33" t="s">
        <v>97</v>
      </c>
      <c r="D189" s="2" t="s">
        <v>130</v>
      </c>
      <c r="E189" s="2"/>
      <c r="F189" s="3" t="s">
        <v>11</v>
      </c>
      <c r="G189" s="55">
        <v>45591</v>
      </c>
      <c r="H189" s="49">
        <v>4.9000000000000002E-2</v>
      </c>
      <c r="I189" s="49" t="str" cm="1">
        <f t="array" ref="I18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89" s="61" t="s">
        <v>363</v>
      </c>
      <c r="K189" s="49">
        <v>0.02</v>
      </c>
      <c r="L189" s="46">
        <v>0.1</v>
      </c>
      <c r="M189" s="58" t="str">
        <f>IF(ISBLANK(Tabela1[[#This Row],[Min]]),"NMin",IF(Tabela1[[#This Row],[Valor]]&lt;Tabela1[[#This Row],[Min]],Tabela1[[#This Row],[Valor]]-Tabela1[[#This Row],[Min]],"Normal"))</f>
        <v>Normal</v>
      </c>
      <c r="N189" s="57" t="str">
        <f>IF(ISBLANK(Tabela1[[#This Row],[Max]]),"NMax",IF(Tabela1[[#This Row],[Valor]]&gt;Tabela1[[#This Row],[Max]],Tabela1[[#This Row],[Valor]]-Tabela1[[#This Row],[Max]],"Normal"))</f>
        <v>Normal</v>
      </c>
    </row>
    <row r="190" spans="2:14" x14ac:dyDescent="0.35">
      <c r="B190" s="33" t="s">
        <v>431</v>
      </c>
      <c r="C190" s="33" t="s">
        <v>97</v>
      </c>
      <c r="D190" s="2" t="s">
        <v>126</v>
      </c>
      <c r="E190" s="2"/>
      <c r="F190" s="3" t="s">
        <v>146</v>
      </c>
      <c r="G190" s="55">
        <v>43115</v>
      </c>
      <c r="H190" s="49">
        <v>0.54</v>
      </c>
      <c r="I190" s="49" t="str" cm="1">
        <f t="array" ref="I19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90" s="61" t="s">
        <v>363</v>
      </c>
      <c r="K190" s="49">
        <v>0.4</v>
      </c>
      <c r="L190" s="46">
        <v>0.8</v>
      </c>
      <c r="M190" s="58" t="str">
        <f>IF(ISBLANK(Tabela1[[#This Row],[Min]]),"NMin",IF(Tabela1[[#This Row],[Valor]]&lt;Tabela1[[#This Row],[Min]],Tabela1[[#This Row],[Valor]]-Tabela1[[#This Row],[Min]],"Normal"))</f>
        <v>Normal</v>
      </c>
      <c r="N190" s="57" t="str">
        <f>IF(ISBLANK(Tabela1[[#This Row],[Max]]),"NMax",IF(Tabela1[[#This Row],[Valor]]&gt;Tabela1[[#This Row],[Max]],Tabela1[[#This Row],[Valor]]-Tabela1[[#This Row],[Max]],"Normal"))</f>
        <v>Normal</v>
      </c>
    </row>
    <row r="191" spans="2:14" x14ac:dyDescent="0.35">
      <c r="B191" s="33" t="s">
        <v>431</v>
      </c>
      <c r="C191" s="33" t="s">
        <v>97</v>
      </c>
      <c r="D191" s="2" t="s">
        <v>126</v>
      </c>
      <c r="E191" s="2"/>
      <c r="F191" s="3" t="s">
        <v>11</v>
      </c>
      <c r="G191" s="55">
        <v>43796</v>
      </c>
      <c r="H191" s="49">
        <v>0.54800000000000004</v>
      </c>
      <c r="I191" s="49" t="str" cm="1">
        <f t="array" ref="I19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91" s="61" t="s">
        <v>363</v>
      </c>
      <c r="K191" s="49">
        <v>0.4</v>
      </c>
      <c r="L191" s="46">
        <v>0.8</v>
      </c>
      <c r="M191" s="58" t="str">
        <f>IF(ISBLANK(Tabela1[[#This Row],[Min]]),"NMin",IF(Tabela1[[#This Row],[Valor]]&lt;Tabela1[[#This Row],[Min]],Tabela1[[#This Row],[Valor]]-Tabela1[[#This Row],[Min]],"Normal"))</f>
        <v>Normal</v>
      </c>
      <c r="N191" s="57" t="str">
        <f>IF(ISBLANK(Tabela1[[#This Row],[Max]]),"NMax",IF(Tabela1[[#This Row],[Valor]]&gt;Tabela1[[#This Row],[Max]],Tabela1[[#This Row],[Valor]]-Tabela1[[#This Row],[Max]],"Normal"))</f>
        <v>Normal</v>
      </c>
    </row>
    <row r="192" spans="2:14" x14ac:dyDescent="0.35">
      <c r="B192" s="33" t="s">
        <v>431</v>
      </c>
      <c r="C192" s="33" t="s">
        <v>97</v>
      </c>
      <c r="D192" s="2" t="s">
        <v>126</v>
      </c>
      <c r="E192" s="2" t="s">
        <v>96</v>
      </c>
      <c r="F192" s="3" t="s">
        <v>71</v>
      </c>
      <c r="G192" s="55">
        <v>44281</v>
      </c>
      <c r="H192" s="49">
        <v>0.628</v>
      </c>
      <c r="I192" s="49" t="str" cm="1">
        <f t="array" ref="I19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92" s="61" t="s">
        <v>363</v>
      </c>
      <c r="K192" s="49">
        <v>0.4</v>
      </c>
      <c r="L192" s="46">
        <v>0.8</v>
      </c>
      <c r="M192" s="58" t="str">
        <f>IF(ISBLANK(Tabela1[[#This Row],[Min]]),"NMin",IF(Tabela1[[#This Row],[Valor]]&lt;Tabela1[[#This Row],[Min]],Tabela1[[#This Row],[Valor]]-Tabela1[[#This Row],[Min]],"Normal"))</f>
        <v>Normal</v>
      </c>
      <c r="N192" s="57" t="str">
        <f>IF(ISBLANK(Tabela1[[#This Row],[Max]]),"NMax",IF(Tabela1[[#This Row],[Valor]]&gt;Tabela1[[#This Row],[Max]],Tabela1[[#This Row],[Valor]]-Tabela1[[#This Row],[Max]],"Normal"))</f>
        <v>Normal</v>
      </c>
    </row>
    <row r="193" spans="2:14" x14ac:dyDescent="0.35">
      <c r="B193" s="33" t="s">
        <v>431</v>
      </c>
      <c r="C193" s="33" t="s">
        <v>97</v>
      </c>
      <c r="D193" s="2" t="s">
        <v>98</v>
      </c>
      <c r="E193" s="2"/>
      <c r="F193" s="3" t="s">
        <v>11</v>
      </c>
      <c r="G193" s="55">
        <v>45591</v>
      </c>
      <c r="H193" s="43">
        <v>2.52</v>
      </c>
      <c r="I193" s="43" t="str" cm="1">
        <f t="array" ref="I19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93" s="43"/>
      <c r="K193" s="43">
        <v>1.56</v>
      </c>
      <c r="L193" s="44">
        <v>6.45</v>
      </c>
      <c r="M193" s="57" t="str">
        <f>IF(ISBLANK(Tabela1[[#This Row],[Min]]),"NMin",IF(Tabela1[[#This Row],[Valor]]&lt;Tabela1[[#This Row],[Min]],Tabela1[[#This Row],[Valor]]-Tabela1[[#This Row],[Min]],"Normal"))</f>
        <v>Normal</v>
      </c>
      <c r="N193" s="57" t="str">
        <f>IF(ISBLANK(Tabela1[[#This Row],[Max]]),"NMax",IF(Tabela1[[#This Row],[Valor]]&gt;Tabela1[[#This Row],[Max]],Tabela1[[#This Row],[Valor]]-Tabela1[[#This Row],[Max]],"Normal"))</f>
        <v>Normal</v>
      </c>
    </row>
    <row r="194" spans="2:14" x14ac:dyDescent="0.35">
      <c r="B194" s="33" t="s">
        <v>431</v>
      </c>
      <c r="C194" s="33" t="s">
        <v>90</v>
      </c>
      <c r="D194" s="2" t="s">
        <v>53</v>
      </c>
      <c r="E194" s="2" t="s">
        <v>68</v>
      </c>
      <c r="F194" s="3" t="s">
        <v>11</v>
      </c>
      <c r="G194" s="55">
        <v>44625</v>
      </c>
      <c r="H194" s="2" t="s">
        <v>60</v>
      </c>
      <c r="I194" s="43" t="str" cm="1">
        <f t="array" ref="I19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194" s="2"/>
      <c r="K194" s="2"/>
      <c r="L194" s="34"/>
      <c r="M194" s="57" t="str">
        <f>IF(ISBLANK(Tabela1[[#This Row],[Min]]),"NMin",IF(Tabela1[[#This Row],[Valor]]&lt;Tabela1[[#This Row],[Min]],Tabela1[[#This Row],[Valor]]-Tabela1[[#This Row],[Min]],"Normal"))</f>
        <v>NMin</v>
      </c>
      <c r="N194" s="57" t="str">
        <f>IF(ISBLANK(Tabela1[[#This Row],[Max]]),"NMax",IF(Tabela1[[#This Row],[Valor]]&gt;Tabela1[[#This Row],[Max]],Tabela1[[#This Row],[Valor]]-Tabela1[[#This Row],[Max]],"Normal"))</f>
        <v>NMax</v>
      </c>
    </row>
    <row r="195" spans="2:14" x14ac:dyDescent="0.35">
      <c r="B195" s="33" t="s">
        <v>431</v>
      </c>
      <c r="C195" s="33" t="s">
        <v>90</v>
      </c>
      <c r="D195" s="2" t="s">
        <v>53</v>
      </c>
      <c r="E195" s="2" t="s">
        <v>123</v>
      </c>
      <c r="F195" s="3" t="s">
        <v>71</v>
      </c>
      <c r="G195" s="55">
        <v>44281</v>
      </c>
      <c r="H195" s="2" t="s">
        <v>33</v>
      </c>
      <c r="I195" s="43" t="str" cm="1">
        <f t="array" ref="I19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Positivo/Negativo</v>
      </c>
      <c r="J195" s="2"/>
      <c r="K195" s="2"/>
      <c r="L195" s="34"/>
      <c r="M195" s="57" t="str">
        <f>IF(ISBLANK(Tabela1[[#This Row],[Min]]),"NMin",IF(Tabela1[[#This Row],[Valor]]&lt;Tabela1[[#This Row],[Min]],Tabela1[[#This Row],[Valor]]-Tabela1[[#This Row],[Min]],"Normal"))</f>
        <v>NMin</v>
      </c>
      <c r="N195" s="57" t="str">
        <f>IF(ISBLANK(Tabela1[[#This Row],[Max]]),"NMax",IF(Tabela1[[#This Row],[Valor]]&gt;Tabela1[[#This Row],[Max]],Tabela1[[#This Row],[Valor]]-Tabela1[[#This Row],[Max]],"Normal"))</f>
        <v>NMax</v>
      </c>
    </row>
    <row r="196" spans="2:14" x14ac:dyDescent="0.35">
      <c r="B196" s="33" t="s">
        <v>431</v>
      </c>
      <c r="C196" s="33" t="s">
        <v>93</v>
      </c>
      <c r="D196" s="2" t="s">
        <v>82</v>
      </c>
      <c r="E196" s="2" t="s">
        <v>85</v>
      </c>
      <c r="F196" s="3" t="s">
        <v>71</v>
      </c>
      <c r="G196" s="55">
        <v>44285</v>
      </c>
      <c r="H196" s="43">
        <v>30</v>
      </c>
      <c r="I196" s="43" t="str" cm="1">
        <f t="array" ref="I19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96" s="43"/>
      <c r="K196" s="43"/>
      <c r="L196" s="44">
        <v>76</v>
      </c>
      <c r="M196" s="57" t="str">
        <f>IF(ISBLANK(Tabela1[[#This Row],[Min]]),"NMin",IF(Tabela1[[#This Row],[Valor]]&lt;Tabela1[[#This Row],[Min]],Tabela1[[#This Row],[Valor]]-Tabela1[[#This Row],[Min]],"Normal"))</f>
        <v>NMin</v>
      </c>
      <c r="N196" s="57" t="str">
        <f>IF(ISBLANK(Tabela1[[#This Row],[Max]]),"NMax",IF(Tabela1[[#This Row],[Valor]]&gt;Tabela1[[#This Row],[Max]],Tabela1[[#This Row],[Valor]]-Tabela1[[#This Row],[Max]],"Normal"))</f>
        <v>Normal</v>
      </c>
    </row>
    <row r="197" spans="2:14" x14ac:dyDescent="0.35">
      <c r="B197" s="33" t="s">
        <v>431</v>
      </c>
      <c r="C197" s="33" t="s">
        <v>93</v>
      </c>
      <c r="D197" s="2" t="s">
        <v>88</v>
      </c>
      <c r="E197" s="2" t="s">
        <v>86</v>
      </c>
      <c r="F197" s="3" t="s">
        <v>71</v>
      </c>
      <c r="G197" s="55">
        <v>44285</v>
      </c>
      <c r="H197" s="43">
        <v>135</v>
      </c>
      <c r="I197" s="43" t="str" cm="1">
        <f t="array" ref="I19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197" s="43"/>
      <c r="K197" s="43"/>
      <c r="L197" s="44">
        <v>444</v>
      </c>
      <c r="M197" s="57" t="str">
        <f>IF(ISBLANK(Tabela1[[#This Row],[Min]]),"NMin",IF(Tabela1[[#This Row],[Valor]]&lt;Tabela1[[#This Row],[Min]],Tabela1[[#This Row],[Valor]]-Tabela1[[#This Row],[Min]],"Normal"))</f>
        <v>NMin</v>
      </c>
      <c r="N197" s="57" t="str">
        <f>IF(ISBLANK(Tabela1[[#This Row],[Max]]),"NMax",IF(Tabela1[[#This Row],[Valor]]&gt;Tabela1[[#This Row],[Max]],Tabela1[[#This Row],[Valor]]-Tabela1[[#This Row],[Max]],"Normal"))</f>
        <v>Normal</v>
      </c>
    </row>
    <row r="198" spans="2:14" x14ac:dyDescent="0.35">
      <c r="B198" s="33" t="s">
        <v>431</v>
      </c>
      <c r="C198" s="33" t="s">
        <v>92</v>
      </c>
      <c r="D198" s="2" t="s">
        <v>78</v>
      </c>
      <c r="E198" s="2" t="s">
        <v>80</v>
      </c>
      <c r="F198" s="3" t="s">
        <v>71</v>
      </c>
      <c r="G198" s="55">
        <v>44285</v>
      </c>
      <c r="H198" s="43">
        <v>24</v>
      </c>
      <c r="I198" s="43" t="str" cm="1">
        <f t="array" ref="I19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198" s="43"/>
      <c r="K198" s="43"/>
      <c r="L198" s="44"/>
      <c r="M198" s="57" t="str">
        <f>IF(ISBLANK(Tabela1[[#This Row],[Min]]),"NMin",IF(Tabela1[[#This Row],[Valor]]&lt;Tabela1[[#This Row],[Min]],Tabela1[[#This Row],[Valor]]-Tabela1[[#This Row],[Min]],"Normal"))</f>
        <v>NMin</v>
      </c>
      <c r="N198" s="57" t="str">
        <f>IF(ISBLANK(Tabela1[[#This Row],[Max]]),"NMax",IF(Tabela1[[#This Row],[Valor]]&gt;Tabela1[[#This Row],[Max]],Tabela1[[#This Row],[Valor]]-Tabela1[[#This Row],[Max]],"Normal"))</f>
        <v>NMax</v>
      </c>
    </row>
    <row r="199" spans="2:14" x14ac:dyDescent="0.35">
      <c r="B199" s="33" t="s">
        <v>431</v>
      </c>
      <c r="C199" s="33" t="s">
        <v>90</v>
      </c>
      <c r="D199" s="2" t="s">
        <v>47</v>
      </c>
      <c r="E199" s="2"/>
      <c r="F199" s="3" t="s">
        <v>146</v>
      </c>
      <c r="G199" s="55">
        <v>43115</v>
      </c>
      <c r="H199" s="43">
        <v>6</v>
      </c>
      <c r="I199" s="43" t="str" cm="1">
        <f t="array" ref="I19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199" s="43"/>
      <c r="K199" s="43"/>
      <c r="L199" s="44"/>
      <c r="M199" s="57" t="str">
        <f>IF(ISBLANK(Tabela1[[#This Row],[Min]]),"NMin",IF(Tabela1[[#This Row],[Valor]]&lt;Tabela1[[#This Row],[Min]],Tabela1[[#This Row],[Valor]]-Tabela1[[#This Row],[Min]],"Normal"))</f>
        <v>NMin</v>
      </c>
      <c r="N199" s="57" t="str">
        <f>IF(ISBLANK(Tabela1[[#This Row],[Max]]),"NMax",IF(Tabela1[[#This Row],[Valor]]&gt;Tabela1[[#This Row],[Max]],Tabela1[[#This Row],[Valor]]-Tabela1[[#This Row],[Max]],"Normal"))</f>
        <v>NMax</v>
      </c>
    </row>
    <row r="200" spans="2:14" x14ac:dyDescent="0.35">
      <c r="B200" s="33" t="s">
        <v>431</v>
      </c>
      <c r="C200" s="33" t="s">
        <v>90</v>
      </c>
      <c r="D200" s="2" t="s">
        <v>47</v>
      </c>
      <c r="E200" s="2" t="s">
        <v>68</v>
      </c>
      <c r="F200" s="3" t="s">
        <v>11</v>
      </c>
      <c r="G200" s="55">
        <v>44625</v>
      </c>
      <c r="H200" s="43">
        <v>6.5</v>
      </c>
      <c r="I200" s="43" t="str" cm="1">
        <f t="array" ref="I20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200" s="43"/>
      <c r="K200" s="43"/>
      <c r="L200" s="44"/>
      <c r="M200" s="57" t="str">
        <f>IF(ISBLANK(Tabela1[[#This Row],[Min]]),"NMin",IF(Tabela1[[#This Row],[Valor]]&lt;Tabela1[[#This Row],[Min]],Tabela1[[#This Row],[Valor]]-Tabela1[[#This Row],[Min]],"Normal"))</f>
        <v>NMin</v>
      </c>
      <c r="N200" s="57" t="str">
        <f>IF(ISBLANK(Tabela1[[#This Row],[Max]]),"NMax",IF(Tabela1[[#This Row],[Valor]]&gt;Tabela1[[#This Row],[Max]],Tabela1[[#This Row],[Valor]]-Tabela1[[#This Row],[Max]],"Normal"))</f>
        <v>NMax</v>
      </c>
    </row>
    <row r="201" spans="2:14" x14ac:dyDescent="0.35">
      <c r="B201" s="33" t="s">
        <v>431</v>
      </c>
      <c r="C201" s="33" t="s">
        <v>90</v>
      </c>
      <c r="D201" s="2" t="s">
        <v>47</v>
      </c>
      <c r="E201" s="2" t="s">
        <v>123</v>
      </c>
      <c r="F201" s="3" t="s">
        <v>71</v>
      </c>
      <c r="G201" s="55">
        <v>44281</v>
      </c>
      <c r="H201" s="43">
        <v>6.5</v>
      </c>
      <c r="I201" s="43" t="str" cm="1">
        <f t="array" ref="I20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201" s="43"/>
      <c r="K201" s="43"/>
      <c r="L201" s="44"/>
      <c r="M201" s="57" t="str">
        <f>IF(ISBLANK(Tabela1[[#This Row],[Min]]),"NMin",IF(Tabela1[[#This Row],[Valor]]&lt;Tabela1[[#This Row],[Min]],Tabela1[[#This Row],[Valor]]-Tabela1[[#This Row],[Min]],"Normal"))</f>
        <v>NMin</v>
      </c>
      <c r="N201" s="57" t="str">
        <f>IF(ISBLANK(Tabela1[[#This Row],[Max]]),"NMax",IF(Tabela1[[#This Row],[Valor]]&gt;Tabela1[[#This Row],[Max]],Tabela1[[#This Row],[Valor]]-Tabela1[[#This Row],[Max]],"Normal"))</f>
        <v>NMax</v>
      </c>
    </row>
    <row r="202" spans="2:14" x14ac:dyDescent="0.35">
      <c r="B202" s="33" t="s">
        <v>431</v>
      </c>
      <c r="C202" s="33" t="s">
        <v>103</v>
      </c>
      <c r="D202" s="2" t="s">
        <v>131</v>
      </c>
      <c r="E202" s="2"/>
      <c r="F202" s="3" t="s">
        <v>11</v>
      </c>
      <c r="G202" s="55">
        <v>43796</v>
      </c>
      <c r="H202" s="43">
        <v>146</v>
      </c>
      <c r="I202" s="43" t="str" cm="1">
        <f t="array" ref="I20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02" s="43"/>
      <c r="K202" s="43">
        <v>135</v>
      </c>
      <c r="L202" s="44">
        <v>317</v>
      </c>
      <c r="M202" s="57" t="str">
        <f>IF(ISBLANK(Tabela1[[#This Row],[Min]]),"NMin",IF(Tabela1[[#This Row],[Valor]]&lt;Tabela1[[#This Row],[Min]],Tabela1[[#This Row],[Valor]]-Tabela1[[#This Row],[Min]],"Normal"))</f>
        <v>Normal</v>
      </c>
      <c r="N202" s="57" t="str">
        <f>IF(ISBLANK(Tabela1[[#This Row],[Max]]),"NMax",IF(Tabela1[[#This Row],[Valor]]&gt;Tabela1[[#This Row],[Max]],Tabela1[[#This Row],[Valor]]-Tabela1[[#This Row],[Max]],"Normal"))</f>
        <v>Normal</v>
      </c>
    </row>
    <row r="203" spans="2:14" x14ac:dyDescent="0.35">
      <c r="B203" s="33" t="s">
        <v>431</v>
      </c>
      <c r="C203" s="33" t="s">
        <v>103</v>
      </c>
      <c r="D203" s="2" t="s">
        <v>131</v>
      </c>
      <c r="E203" s="2" t="s">
        <v>96</v>
      </c>
      <c r="F203" s="3" t="s">
        <v>71</v>
      </c>
      <c r="G203" s="55">
        <v>44281</v>
      </c>
      <c r="H203" s="43">
        <v>178</v>
      </c>
      <c r="I203" s="43" t="str" cm="1">
        <f t="array" ref="I20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03" s="43"/>
      <c r="K203" s="43">
        <v>150</v>
      </c>
      <c r="L203" s="44">
        <v>400</v>
      </c>
      <c r="M203" s="57" t="str">
        <f>IF(ISBLANK(Tabela1[[#This Row],[Min]]),"NMin",IF(Tabela1[[#This Row],[Valor]]&lt;Tabela1[[#This Row],[Min]],Tabela1[[#This Row],[Valor]]-Tabela1[[#This Row],[Min]],"Normal"))</f>
        <v>Normal</v>
      </c>
      <c r="N203" s="57" t="str">
        <f>IF(ISBLANK(Tabela1[[#This Row],[Max]]),"NMax",IF(Tabela1[[#This Row],[Valor]]&gt;Tabela1[[#This Row],[Max]],Tabela1[[#This Row],[Valor]]-Tabela1[[#This Row],[Max]],"Normal"))</f>
        <v>Normal</v>
      </c>
    </row>
    <row r="204" spans="2:14" x14ac:dyDescent="0.35">
      <c r="B204" s="33" t="s">
        <v>431</v>
      </c>
      <c r="C204" s="33" t="s">
        <v>103</v>
      </c>
      <c r="D204" s="2" t="s">
        <v>131</v>
      </c>
      <c r="E204" s="2"/>
      <c r="F204" s="3" t="s">
        <v>146</v>
      </c>
      <c r="G204" s="55">
        <v>43115</v>
      </c>
      <c r="H204" s="43">
        <v>182</v>
      </c>
      <c r="I204" s="43" t="str" cm="1">
        <f t="array" ref="I20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04" s="43"/>
      <c r="K204" s="43">
        <v>150</v>
      </c>
      <c r="L204" s="44">
        <v>400</v>
      </c>
      <c r="M204" s="57" t="str">
        <f>IF(ISBLANK(Tabela1[[#This Row],[Min]]),"NMin",IF(Tabela1[[#This Row],[Valor]]&lt;Tabela1[[#This Row],[Min]],Tabela1[[#This Row],[Valor]]-Tabela1[[#This Row],[Min]],"Normal"))</f>
        <v>Normal</v>
      </c>
      <c r="N204" s="57" t="str">
        <f>IF(ISBLANK(Tabela1[[#This Row],[Max]]),"NMax",IF(Tabela1[[#This Row],[Valor]]&gt;Tabela1[[#This Row],[Max]],Tabela1[[#This Row],[Valor]]-Tabela1[[#This Row],[Max]],"Normal"))</f>
        <v>Normal</v>
      </c>
    </row>
    <row r="205" spans="2:14" x14ac:dyDescent="0.35">
      <c r="B205" s="33" t="s">
        <v>431</v>
      </c>
      <c r="C205" s="33" t="s">
        <v>97</v>
      </c>
      <c r="D205" s="2" t="s">
        <v>126</v>
      </c>
      <c r="E205" s="2"/>
      <c r="F205" s="3" t="s">
        <v>11</v>
      </c>
      <c r="G205" s="55">
        <v>45591</v>
      </c>
      <c r="H205" s="49">
        <v>0.61199999999999999</v>
      </c>
      <c r="I205" s="49" t="str" cm="1">
        <f t="array" ref="I20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05" s="61" t="s">
        <v>363</v>
      </c>
      <c r="K205" s="49">
        <v>0.4</v>
      </c>
      <c r="L205" s="46">
        <v>0.8</v>
      </c>
      <c r="M205" s="58" t="str">
        <f>IF(ISBLANK(Tabela1[[#This Row],[Min]]),"NMin",IF(Tabela1[[#This Row],[Valor]]&lt;Tabela1[[#This Row],[Min]],Tabela1[[#This Row],[Valor]]-Tabela1[[#This Row],[Min]],"Normal"))</f>
        <v>Normal</v>
      </c>
      <c r="N205" s="57" t="str">
        <f>IF(ISBLANK(Tabela1[[#This Row],[Max]]),"NMax",IF(Tabela1[[#This Row],[Valor]]&gt;Tabela1[[#This Row],[Max]],Tabela1[[#This Row],[Valor]]-Tabela1[[#This Row],[Max]],"Normal"))</f>
        <v>Normal</v>
      </c>
    </row>
    <row r="206" spans="2:14" x14ac:dyDescent="0.35">
      <c r="B206" s="33" t="s">
        <v>431</v>
      </c>
      <c r="C206" s="33" t="s">
        <v>103</v>
      </c>
      <c r="D206" s="2" t="s">
        <v>131</v>
      </c>
      <c r="E206" s="2"/>
      <c r="F206" s="3" t="s">
        <v>11</v>
      </c>
      <c r="G206" s="55">
        <v>45591</v>
      </c>
      <c r="H206" s="43">
        <v>199</v>
      </c>
      <c r="I206" s="43" t="str" cm="1">
        <f t="array" ref="I20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06" s="43"/>
      <c r="K206" s="43">
        <v>135</v>
      </c>
      <c r="L206" s="44">
        <v>317</v>
      </c>
      <c r="M206" s="57" t="str">
        <f>IF(ISBLANK(Tabela1[[#This Row],[Min]]),"NMin",IF(Tabela1[[#This Row],[Valor]]&lt;Tabela1[[#This Row],[Min]],Tabela1[[#This Row],[Valor]]-Tabela1[[#This Row],[Min]],"Normal"))</f>
        <v>Normal</v>
      </c>
      <c r="N206" s="57" t="str">
        <f>IF(ISBLANK(Tabela1[[#This Row],[Max]]),"NMax",IF(Tabela1[[#This Row],[Valor]]&gt;Tabela1[[#This Row],[Max]],Tabela1[[#This Row],[Valor]]-Tabela1[[#This Row],[Max]],"Normal"))</f>
        <v>Normal</v>
      </c>
    </row>
    <row r="207" spans="2:14" x14ac:dyDescent="0.35">
      <c r="B207" s="33" t="s">
        <v>431</v>
      </c>
      <c r="C207" s="33" t="s">
        <v>103</v>
      </c>
      <c r="D207" s="2" t="s">
        <v>132</v>
      </c>
      <c r="E207" s="2"/>
      <c r="F207" s="3" t="s">
        <v>11</v>
      </c>
      <c r="G207" s="55">
        <v>43796</v>
      </c>
      <c r="H207" s="43">
        <v>13.2</v>
      </c>
      <c r="I207" s="43" t="str" cm="1">
        <f t="array" ref="I20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207" s="43"/>
      <c r="K207" s="43">
        <v>9.3000000000000007</v>
      </c>
      <c r="L207" s="44">
        <v>12.1</v>
      </c>
      <c r="M207" s="57" t="str">
        <f>IF(ISBLANK(Tabela1[[#This Row],[Min]]),"NMin",IF(Tabela1[[#This Row],[Valor]]&lt;Tabela1[[#This Row],[Min]],Tabela1[[#This Row],[Valor]]-Tabela1[[#This Row],[Min]],"Normal"))</f>
        <v>Normal</v>
      </c>
      <c r="N207" s="57">
        <f>IF(ISBLANK(Tabela1[[#This Row],[Max]]),"NMax",IF(Tabela1[[#This Row],[Valor]]&gt;Tabela1[[#This Row],[Max]],Tabela1[[#This Row],[Valor]]-Tabela1[[#This Row],[Max]],"Normal"))</f>
        <v>1.0999999999999996</v>
      </c>
    </row>
    <row r="208" spans="2:14" x14ac:dyDescent="0.35">
      <c r="B208" s="33" t="s">
        <v>431</v>
      </c>
      <c r="C208" s="33" t="s">
        <v>44</v>
      </c>
      <c r="D208" s="2" t="s">
        <v>25</v>
      </c>
      <c r="E208" s="2"/>
      <c r="F208" s="3" t="s">
        <v>146</v>
      </c>
      <c r="G208" s="55">
        <v>43115</v>
      </c>
      <c r="H208" s="43">
        <v>3.6</v>
      </c>
      <c r="I208" s="43" t="str" cm="1">
        <f t="array" ref="I20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08" s="43"/>
      <c r="K208" s="43">
        <v>3.5</v>
      </c>
      <c r="L208" s="44">
        <v>5.3</v>
      </c>
      <c r="M208" s="57" t="str">
        <f>IF(ISBLANK(Tabela1[[#This Row],[Min]]),"NMin",IF(Tabela1[[#This Row],[Valor]]&lt;Tabela1[[#This Row],[Min]],Tabela1[[#This Row],[Valor]]-Tabela1[[#This Row],[Min]],"Normal"))</f>
        <v>Normal</v>
      </c>
      <c r="N208" s="57" t="str">
        <f>IF(ISBLANK(Tabela1[[#This Row],[Max]]),"NMax",IF(Tabela1[[#This Row],[Valor]]&gt;Tabela1[[#This Row],[Max]],Tabela1[[#This Row],[Valor]]-Tabela1[[#This Row],[Max]],"Normal"))</f>
        <v>Normal</v>
      </c>
    </row>
    <row r="209" spans="2:14" x14ac:dyDescent="0.35">
      <c r="B209" s="33" t="s">
        <v>431</v>
      </c>
      <c r="C209" s="33" t="s">
        <v>44</v>
      </c>
      <c r="D209" s="2" t="s">
        <v>25</v>
      </c>
      <c r="E209" s="2" t="s">
        <v>24</v>
      </c>
      <c r="F209" s="3" t="s">
        <v>11</v>
      </c>
      <c r="G209" s="55">
        <v>43796</v>
      </c>
      <c r="H209" s="43">
        <v>4.0999999999999996</v>
      </c>
      <c r="I209" s="43" t="str" cm="1">
        <f t="array" ref="I20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09" s="43"/>
      <c r="K209" s="43">
        <v>3.5</v>
      </c>
      <c r="L209" s="44">
        <v>5.0999999999999996</v>
      </c>
      <c r="M209" s="57" t="str">
        <f>IF(ISBLANK(Tabela1[[#This Row],[Min]]),"NMin",IF(Tabela1[[#This Row],[Valor]]&lt;Tabela1[[#This Row],[Min]],Tabela1[[#This Row],[Valor]]-Tabela1[[#This Row],[Min]],"Normal"))</f>
        <v>Normal</v>
      </c>
      <c r="N209" s="57" t="str">
        <f>IF(ISBLANK(Tabela1[[#This Row],[Max]]),"NMax",IF(Tabela1[[#This Row],[Valor]]&gt;Tabela1[[#This Row],[Max]],Tabela1[[#This Row],[Valor]]-Tabela1[[#This Row],[Max]],"Normal"))</f>
        <v>Normal</v>
      </c>
    </row>
    <row r="210" spans="2:14" x14ac:dyDescent="0.35">
      <c r="B210" s="33" t="s">
        <v>431</v>
      </c>
      <c r="C210" s="33" t="s">
        <v>44</v>
      </c>
      <c r="D210" s="2" t="s">
        <v>25</v>
      </c>
      <c r="E210" s="2" t="s">
        <v>24</v>
      </c>
      <c r="F210" s="3" t="s">
        <v>11</v>
      </c>
      <c r="G210" s="55">
        <v>44966</v>
      </c>
      <c r="H210" s="43">
        <v>4.5999999999999996</v>
      </c>
      <c r="I210" s="43" t="str" cm="1">
        <f t="array" ref="I21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10" s="43"/>
      <c r="K210" s="43">
        <v>3.5</v>
      </c>
      <c r="L210" s="44">
        <v>5.0999999999999996</v>
      </c>
      <c r="M210" s="57" t="str">
        <f>IF(ISBLANK(Tabela1[[#This Row],[Min]]),"NMin",IF(Tabela1[[#This Row],[Valor]]&lt;Tabela1[[#This Row],[Min]],Tabela1[[#This Row],[Valor]]-Tabela1[[#This Row],[Min]],"Normal"))</f>
        <v>Normal</v>
      </c>
      <c r="N210" s="57" t="str">
        <f>IF(ISBLANK(Tabela1[[#This Row],[Max]]),"NMax",IF(Tabela1[[#This Row],[Valor]]&gt;Tabela1[[#This Row],[Max]],Tabela1[[#This Row],[Valor]]-Tabela1[[#This Row],[Max]],"Normal"))</f>
        <v>Normal</v>
      </c>
    </row>
    <row r="211" spans="2:14" x14ac:dyDescent="0.35">
      <c r="B211" s="33" t="s">
        <v>431</v>
      </c>
      <c r="C211" s="33" t="s">
        <v>162</v>
      </c>
      <c r="D211" s="2" t="s">
        <v>163</v>
      </c>
      <c r="E211" s="2"/>
      <c r="F211" s="3" t="s">
        <v>146</v>
      </c>
      <c r="G211" s="55">
        <v>43115</v>
      </c>
      <c r="H211" s="43">
        <v>0.3</v>
      </c>
      <c r="I211" s="43" t="str" cm="1">
        <f t="array" ref="I21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11" s="43"/>
      <c r="K211" s="43">
        <v>0</v>
      </c>
      <c r="L211" s="44">
        <v>0.6</v>
      </c>
      <c r="M211" s="57" t="str">
        <f>IF(ISBLANK(Tabela1[[#This Row],[Min]]),"NMin",IF(Tabela1[[#This Row],[Valor]]&lt;Tabela1[[#This Row],[Min]],Tabela1[[#This Row],[Valor]]-Tabela1[[#This Row],[Min]],"Normal"))</f>
        <v>Normal</v>
      </c>
      <c r="N211" s="57" t="str">
        <f>IF(ISBLANK(Tabela1[[#This Row],[Max]]),"NMax",IF(Tabela1[[#This Row],[Valor]]&gt;Tabela1[[#This Row],[Max]],Tabela1[[#This Row],[Valor]]-Tabela1[[#This Row],[Max]],"Normal"))</f>
        <v>Normal</v>
      </c>
    </row>
    <row r="212" spans="2:14" x14ac:dyDescent="0.35">
      <c r="B212" s="33" t="s">
        <v>431</v>
      </c>
      <c r="C212" s="33" t="s">
        <v>90</v>
      </c>
      <c r="D212" s="2" t="s">
        <v>49</v>
      </c>
      <c r="E212" s="2" t="s">
        <v>123</v>
      </c>
      <c r="F212" s="3" t="s">
        <v>71</v>
      </c>
      <c r="G212" s="55">
        <v>44281</v>
      </c>
      <c r="H212" s="2" t="s">
        <v>33</v>
      </c>
      <c r="I212" s="43" t="str" cm="1">
        <f t="array" ref="I21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Positivo/Negativo</v>
      </c>
      <c r="J212" s="2"/>
      <c r="K212" s="2"/>
      <c r="L212" s="34"/>
      <c r="M212" s="57" t="str">
        <f>IF(ISBLANK(Tabela1[[#This Row],[Min]]),"NMin",IF(Tabela1[[#This Row],[Valor]]&lt;Tabela1[[#This Row],[Min]],Tabela1[[#This Row],[Valor]]-Tabela1[[#This Row],[Min]],"Normal"))</f>
        <v>NMin</v>
      </c>
      <c r="N212" s="57" t="str">
        <f>IF(ISBLANK(Tabela1[[#This Row],[Max]]),"NMax",IF(Tabela1[[#This Row],[Valor]]&gt;Tabela1[[#This Row],[Max]],Tabela1[[#This Row],[Valor]]-Tabela1[[#This Row],[Max]],"Normal"))</f>
        <v>NMax</v>
      </c>
    </row>
    <row r="213" spans="2:14" x14ac:dyDescent="0.35">
      <c r="B213" s="33" t="s">
        <v>431</v>
      </c>
      <c r="C213" s="33" t="s">
        <v>90</v>
      </c>
      <c r="D213" s="2" t="s">
        <v>49</v>
      </c>
      <c r="E213" s="2" t="s">
        <v>68</v>
      </c>
      <c r="F213" s="3" t="s">
        <v>11</v>
      </c>
      <c r="G213" s="55">
        <v>44625</v>
      </c>
      <c r="H213" s="2" t="s">
        <v>58</v>
      </c>
      <c r="I213" s="43" t="str" cm="1">
        <f t="array" ref="I21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213" s="2"/>
      <c r="K213" s="2"/>
      <c r="L213" s="34"/>
      <c r="M213" s="57" t="str">
        <f>IF(ISBLANK(Tabela1[[#This Row],[Min]]),"NMin",IF(Tabela1[[#This Row],[Valor]]&lt;Tabela1[[#This Row],[Min]],Tabela1[[#This Row],[Valor]]-Tabela1[[#This Row],[Min]],"Normal"))</f>
        <v>NMin</v>
      </c>
      <c r="N213" s="57" t="str">
        <f>IF(ISBLANK(Tabela1[[#This Row],[Max]]),"NMax",IF(Tabela1[[#This Row],[Valor]]&gt;Tabela1[[#This Row],[Max]],Tabela1[[#This Row],[Valor]]-Tabela1[[#This Row],[Max]],"Normal"))</f>
        <v>NMax</v>
      </c>
    </row>
    <row r="214" spans="2:14" x14ac:dyDescent="0.35">
      <c r="B214" s="33" t="s">
        <v>431</v>
      </c>
      <c r="C214" s="33" t="s">
        <v>90</v>
      </c>
      <c r="D214" s="2" t="s">
        <v>49</v>
      </c>
      <c r="E214" s="2"/>
      <c r="F214" s="3" t="s">
        <v>146</v>
      </c>
      <c r="G214" s="55">
        <v>43115</v>
      </c>
      <c r="H214" s="2" t="s">
        <v>58</v>
      </c>
      <c r="I214" s="43" t="str" cm="1">
        <f t="array" ref="I21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214" s="2"/>
      <c r="K214" s="2"/>
      <c r="L214" s="34"/>
      <c r="M214" s="57" t="str">
        <f>IF(ISBLANK(Tabela1[[#This Row],[Min]]),"NMin",IF(Tabela1[[#This Row],[Valor]]&lt;Tabela1[[#This Row],[Min]],Tabela1[[#This Row],[Valor]]-Tabela1[[#This Row],[Min]],"Normal"))</f>
        <v>NMin</v>
      </c>
      <c r="N214" s="57" t="str">
        <f>IF(ISBLANK(Tabela1[[#This Row],[Max]]),"NMax",IF(Tabela1[[#This Row],[Valor]]&gt;Tabela1[[#This Row],[Max]],Tabela1[[#This Row],[Valor]]-Tabela1[[#This Row],[Max]],"Normal"))</f>
        <v>NMax</v>
      </c>
    </row>
    <row r="215" spans="2:14" x14ac:dyDescent="0.35">
      <c r="B215" s="33" t="s">
        <v>431</v>
      </c>
      <c r="C215" s="33" t="s">
        <v>91</v>
      </c>
      <c r="D215" s="2" t="s">
        <v>72</v>
      </c>
      <c r="E215" s="2" t="s">
        <v>70</v>
      </c>
      <c r="F215" s="3" t="s">
        <v>71</v>
      </c>
      <c r="G215" s="55">
        <v>44285</v>
      </c>
      <c r="H215" s="47">
        <v>3.45</v>
      </c>
      <c r="I215" s="47" t="str" cm="1">
        <f t="array" ref="I21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15" s="47"/>
      <c r="K215" s="47"/>
      <c r="L215" s="48">
        <v>30</v>
      </c>
      <c r="M215" s="57" t="str">
        <f>IF(ISBLANK(Tabela1[[#This Row],[Min]]),"NMin",IF(Tabela1[[#This Row],[Valor]]&lt;Tabela1[[#This Row],[Min]],Tabela1[[#This Row],[Valor]]-Tabela1[[#This Row],[Min]],"Normal"))</f>
        <v>NMin</v>
      </c>
      <c r="N215" s="57" t="str">
        <f>IF(ISBLANK(Tabela1[[#This Row],[Max]]),"NMax",IF(Tabela1[[#This Row],[Valor]]&gt;Tabela1[[#This Row],[Max]],Tabela1[[#This Row],[Valor]]-Tabela1[[#This Row],[Max]],"Normal"))</f>
        <v>Normal</v>
      </c>
    </row>
    <row r="216" spans="2:14" x14ac:dyDescent="0.35">
      <c r="B216" s="33" t="s">
        <v>431</v>
      </c>
      <c r="C216" s="33" t="s">
        <v>166</v>
      </c>
      <c r="D216" s="2" t="s">
        <v>172</v>
      </c>
      <c r="E216" s="2"/>
      <c r="F216" s="3" t="s">
        <v>146</v>
      </c>
      <c r="G216" s="55">
        <v>43115</v>
      </c>
      <c r="H216" s="47">
        <v>6.8</v>
      </c>
      <c r="I216" s="47" t="str" cm="1">
        <f t="array" ref="I21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16" s="47"/>
      <c r="K216" s="47">
        <v>6.2</v>
      </c>
      <c r="L216" s="48">
        <v>8</v>
      </c>
      <c r="M216" s="57" t="str">
        <f>IF(ISBLANK(Tabela1[[#This Row],[Min]]),"NMin",IF(Tabela1[[#This Row],[Valor]]&lt;Tabela1[[#This Row],[Min]],Tabela1[[#This Row],[Valor]]-Tabela1[[#This Row],[Min]],"Normal"))</f>
        <v>Normal</v>
      </c>
      <c r="N216" s="57" t="str">
        <f>IF(ISBLANK(Tabela1[[#This Row],[Max]]),"NMax",IF(Tabela1[[#This Row],[Valor]]&gt;Tabela1[[#This Row],[Max]],Tabela1[[#This Row],[Valor]]-Tabela1[[#This Row],[Max]],"Normal"))</f>
        <v>Normal</v>
      </c>
    </row>
    <row r="217" spans="2:14" x14ac:dyDescent="0.35">
      <c r="B217" s="33" t="s">
        <v>431</v>
      </c>
      <c r="C217" s="33" t="s">
        <v>44</v>
      </c>
      <c r="D217" s="2" t="s">
        <v>39</v>
      </c>
      <c r="E217" s="2" t="s">
        <v>32</v>
      </c>
      <c r="F217" s="3" t="s">
        <v>11</v>
      </c>
      <c r="G217" s="55">
        <v>44625</v>
      </c>
      <c r="H217" s="47">
        <v>0.11</v>
      </c>
      <c r="I217" s="47" t="str" cm="1">
        <f t="array" ref="I21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17" s="47"/>
      <c r="K217" s="47"/>
      <c r="L217" s="48">
        <v>4</v>
      </c>
      <c r="M217" s="57" t="str">
        <f>IF(ISBLANK(Tabela1[[#This Row],[Min]]),"NMin",IF(Tabela1[[#This Row],[Valor]]&lt;Tabela1[[#This Row],[Min]],Tabela1[[#This Row],[Valor]]-Tabela1[[#This Row],[Min]],"Normal"))</f>
        <v>NMin</v>
      </c>
      <c r="N217" s="57" t="str">
        <f>IF(ISBLANK(Tabela1[[#This Row],[Max]]),"NMax",IF(Tabela1[[#This Row],[Valor]]&gt;Tabela1[[#This Row],[Max]],Tabela1[[#This Row],[Valor]]-Tabela1[[#This Row],[Max]],"Normal"))</f>
        <v>Normal</v>
      </c>
    </row>
    <row r="218" spans="2:14" x14ac:dyDescent="0.35">
      <c r="B218" s="33" t="s">
        <v>431</v>
      </c>
      <c r="C218" s="33" t="s">
        <v>95</v>
      </c>
      <c r="D218" s="2" t="s">
        <v>183</v>
      </c>
      <c r="E218" s="2"/>
      <c r="F218" s="3" t="s">
        <v>11</v>
      </c>
      <c r="G218" s="55">
        <v>43796</v>
      </c>
      <c r="H218" s="49">
        <v>0.12</v>
      </c>
      <c r="I218" s="49" t="str" cm="1">
        <f t="array" ref="I21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18" s="61" t="s">
        <v>363</v>
      </c>
      <c r="K218" s="49">
        <v>0.11799999999999999</v>
      </c>
      <c r="L218" s="46">
        <v>0.14499999999999999</v>
      </c>
      <c r="M218" s="58" t="str">
        <f>IF(ISBLANK(Tabela1[[#This Row],[Min]]),"NMin",IF(Tabela1[[#This Row],[Valor]]&lt;Tabela1[[#This Row],[Min]],Tabela1[[#This Row],[Valor]]-Tabela1[[#This Row],[Min]],"Normal"))</f>
        <v>Normal</v>
      </c>
      <c r="N218" s="57" t="str">
        <f>IF(ISBLANK(Tabela1[[#This Row],[Max]]),"NMax",IF(Tabela1[[#This Row],[Valor]]&gt;Tabela1[[#This Row],[Max]],Tabela1[[#This Row],[Valor]]-Tabela1[[#This Row],[Max]],"Normal"))</f>
        <v>Normal</v>
      </c>
    </row>
    <row r="219" spans="2:14" x14ac:dyDescent="0.35">
      <c r="B219" s="33" t="s">
        <v>431</v>
      </c>
      <c r="C219" s="33" t="s">
        <v>95</v>
      </c>
      <c r="D219" s="2" t="s">
        <v>183</v>
      </c>
      <c r="E219" s="2"/>
      <c r="F219" s="3" t="s">
        <v>11</v>
      </c>
      <c r="G219" s="55">
        <v>45591</v>
      </c>
      <c r="H219" s="49">
        <v>0.13</v>
      </c>
      <c r="I219" s="49" t="str" cm="1">
        <f t="array" ref="I21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19" s="61" t="s">
        <v>363</v>
      </c>
      <c r="K219" s="49">
        <v>0.11799999999999999</v>
      </c>
      <c r="L219" s="46">
        <v>0.14499999999999999</v>
      </c>
      <c r="M219" s="58" t="str">
        <f>IF(ISBLANK(Tabela1[[#This Row],[Min]]),"NMin",IF(Tabela1[[#This Row],[Valor]]&lt;Tabela1[[#This Row],[Min]],Tabela1[[#This Row],[Valor]]-Tabela1[[#This Row],[Min]],"Normal"))</f>
        <v>Normal</v>
      </c>
      <c r="N219" s="57" t="str">
        <f>IF(ISBLANK(Tabela1[[#This Row],[Max]]),"NMax",IF(Tabela1[[#This Row],[Valor]]&gt;Tabela1[[#This Row],[Max]],Tabela1[[#This Row],[Valor]]-Tabela1[[#This Row],[Max]],"Normal"))</f>
        <v>Normal</v>
      </c>
    </row>
    <row r="220" spans="2:14" x14ac:dyDescent="0.35">
      <c r="B220" s="33" t="s">
        <v>431</v>
      </c>
      <c r="C220" s="33" t="s">
        <v>166</v>
      </c>
      <c r="D220" s="2" t="s">
        <v>173</v>
      </c>
      <c r="E220" s="2"/>
      <c r="F220" s="3" t="s">
        <v>146</v>
      </c>
      <c r="G220" s="55">
        <v>43115</v>
      </c>
      <c r="H220" s="43">
        <v>2.58</v>
      </c>
      <c r="I220" s="43" t="str" cm="1">
        <f t="array" ref="I22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220" s="43"/>
      <c r="K220" s="43"/>
      <c r="L220" s="44"/>
      <c r="M220" s="57" t="str">
        <f>IF(ISBLANK(Tabela1[[#This Row],[Min]]),"NMin",IF(Tabela1[[#This Row],[Valor]]&lt;Tabela1[[#This Row],[Min]],Tabela1[[#This Row],[Valor]]-Tabela1[[#This Row],[Min]],"Normal"))</f>
        <v>NMin</v>
      </c>
      <c r="N220" s="57" t="str">
        <f>IF(ISBLANK(Tabela1[[#This Row],[Max]]),"NMax",IF(Tabela1[[#This Row],[Valor]]&gt;Tabela1[[#This Row],[Max]],Tabela1[[#This Row],[Valor]]-Tabela1[[#This Row],[Max]],"Normal"))</f>
        <v>NMax</v>
      </c>
    </row>
    <row r="221" spans="2:14" x14ac:dyDescent="0.35">
      <c r="B221" s="33" t="s">
        <v>431</v>
      </c>
      <c r="C221" s="33" t="s">
        <v>44</v>
      </c>
      <c r="D221" s="2" t="s">
        <v>23</v>
      </c>
      <c r="E221" s="2"/>
      <c r="F221" s="3" t="s">
        <v>146</v>
      </c>
      <c r="G221" s="55">
        <v>43115</v>
      </c>
      <c r="H221" s="43">
        <v>132</v>
      </c>
      <c r="I221" s="43" t="str" cm="1">
        <f t="array" ref="I22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221" s="43"/>
      <c r="K221" s="43">
        <v>136</v>
      </c>
      <c r="L221" s="44">
        <v>151</v>
      </c>
      <c r="M221" s="57">
        <f>IF(ISBLANK(Tabela1[[#This Row],[Min]]),"NMin",IF(Tabela1[[#This Row],[Valor]]&lt;Tabela1[[#This Row],[Min]],Tabela1[[#This Row],[Valor]]-Tabela1[[#This Row],[Min]],"Normal"))</f>
        <v>-4</v>
      </c>
      <c r="N221" s="57" t="str">
        <f>IF(ISBLANK(Tabela1[[#This Row],[Max]]),"NMax",IF(Tabela1[[#This Row],[Valor]]&gt;Tabela1[[#This Row],[Max]],Tabela1[[#This Row],[Valor]]-Tabela1[[#This Row],[Max]],"Normal"))</f>
        <v>Normal</v>
      </c>
    </row>
    <row r="222" spans="2:14" x14ac:dyDescent="0.35">
      <c r="B222" s="33" t="s">
        <v>431</v>
      </c>
      <c r="C222" s="33" t="s">
        <v>44</v>
      </c>
      <c r="D222" s="2" t="s">
        <v>23</v>
      </c>
      <c r="E222" s="2" t="s">
        <v>24</v>
      </c>
      <c r="F222" s="3" t="s">
        <v>11</v>
      </c>
      <c r="G222" s="55">
        <v>44966</v>
      </c>
      <c r="H222" s="43">
        <v>142</v>
      </c>
      <c r="I222" s="43" t="str" cm="1">
        <f t="array" ref="I22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22" s="43"/>
      <c r="K222" s="43">
        <v>136</v>
      </c>
      <c r="L222" s="44">
        <v>145</v>
      </c>
      <c r="M222" s="57" t="str">
        <f>IF(ISBLANK(Tabela1[[#This Row],[Min]]),"NMin",IF(Tabela1[[#This Row],[Valor]]&lt;Tabela1[[#This Row],[Min]],Tabela1[[#This Row],[Valor]]-Tabela1[[#This Row],[Min]],"Normal"))</f>
        <v>Normal</v>
      </c>
      <c r="N222" s="57" t="str">
        <f>IF(ISBLANK(Tabela1[[#This Row],[Max]]),"NMax",IF(Tabela1[[#This Row],[Valor]]&gt;Tabela1[[#This Row],[Max]],Tabela1[[#This Row],[Valor]]-Tabela1[[#This Row],[Max]],"Normal"))</f>
        <v>Normal</v>
      </c>
    </row>
    <row r="223" spans="2:14" x14ac:dyDescent="0.35">
      <c r="B223" s="33" t="s">
        <v>431</v>
      </c>
      <c r="C223" s="33" t="s">
        <v>44</v>
      </c>
      <c r="D223" s="2" t="s">
        <v>23</v>
      </c>
      <c r="E223" s="2" t="s">
        <v>24</v>
      </c>
      <c r="F223" s="3" t="s">
        <v>11</v>
      </c>
      <c r="G223" s="55">
        <v>43796</v>
      </c>
      <c r="H223" s="43">
        <v>143</v>
      </c>
      <c r="I223" s="43" t="str" cm="1">
        <f t="array" ref="I22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23" s="43"/>
      <c r="K223" s="43">
        <v>136</v>
      </c>
      <c r="L223" s="44">
        <v>145</v>
      </c>
      <c r="M223" s="57" t="str">
        <f>IF(ISBLANK(Tabela1[[#This Row],[Min]]),"NMin",IF(Tabela1[[#This Row],[Valor]]&lt;Tabela1[[#This Row],[Min]],Tabela1[[#This Row],[Valor]]-Tabela1[[#This Row],[Min]],"Normal"))</f>
        <v>Normal</v>
      </c>
      <c r="N223" s="57" t="str">
        <f>IF(ISBLANK(Tabela1[[#This Row],[Max]]),"NMax",IF(Tabela1[[#This Row],[Valor]]&gt;Tabela1[[#This Row],[Max]],Tabela1[[#This Row],[Valor]]-Tabela1[[#This Row],[Max]],"Normal"))</f>
        <v>Normal</v>
      </c>
    </row>
    <row r="224" spans="2:14" x14ac:dyDescent="0.35">
      <c r="B224" s="33" t="s">
        <v>431</v>
      </c>
      <c r="C224" s="33" t="s">
        <v>148</v>
      </c>
      <c r="D224" s="2" t="s">
        <v>150</v>
      </c>
      <c r="E224" s="2"/>
      <c r="F224" s="3" t="s">
        <v>146</v>
      </c>
      <c r="G224" s="55">
        <v>43115</v>
      </c>
      <c r="H224" s="43">
        <v>76.8</v>
      </c>
      <c r="I224" s="43" t="str" cm="1">
        <f t="array" ref="I22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24" s="43"/>
      <c r="K224" s="43">
        <v>75</v>
      </c>
      <c r="L224" s="44">
        <v>120</v>
      </c>
      <c r="M224" s="57" t="str">
        <f>IF(ISBLANK(Tabela1[[#This Row],[Min]]),"NMin",IF(Tabela1[[#This Row],[Valor]]&lt;Tabela1[[#This Row],[Min]],Tabela1[[#This Row],[Valor]]-Tabela1[[#This Row],[Min]],"Normal"))</f>
        <v>Normal</v>
      </c>
      <c r="N224" s="57" t="str">
        <f>IF(ISBLANK(Tabela1[[#This Row],[Max]]),"NMax",IF(Tabela1[[#This Row],[Valor]]&gt;Tabela1[[#This Row],[Max]],Tabela1[[#This Row],[Valor]]-Tabela1[[#This Row],[Max]],"Normal"))</f>
        <v>Normal</v>
      </c>
    </row>
    <row r="225" spans="2:14" x14ac:dyDescent="0.35">
      <c r="B225" s="33" t="s">
        <v>431</v>
      </c>
      <c r="C225" s="33" t="s">
        <v>148</v>
      </c>
      <c r="D225" s="2" t="s">
        <v>147</v>
      </c>
      <c r="E225" s="2"/>
      <c r="F225" s="3" t="s">
        <v>146</v>
      </c>
      <c r="G225" s="55">
        <v>43115</v>
      </c>
      <c r="H225" s="43">
        <v>35.6</v>
      </c>
      <c r="I225" s="43" t="str" cm="1">
        <f t="array" ref="I22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Anormal</v>
      </c>
      <c r="J225" s="43"/>
      <c r="K225" s="43">
        <v>25</v>
      </c>
      <c r="L225" s="44">
        <v>35</v>
      </c>
      <c r="M225" s="57" t="str">
        <f>IF(ISBLANK(Tabela1[[#This Row],[Min]]),"NMin",IF(Tabela1[[#This Row],[Valor]]&lt;Tabela1[[#This Row],[Min]],Tabela1[[#This Row],[Valor]]-Tabela1[[#This Row],[Min]],"Normal"))</f>
        <v>Normal</v>
      </c>
      <c r="N225" s="57">
        <f>IF(ISBLANK(Tabela1[[#This Row],[Max]]),"NMax",IF(Tabela1[[#This Row],[Valor]]&gt;Tabela1[[#This Row],[Max]],Tabela1[[#This Row],[Valor]]-Tabela1[[#This Row],[Max]],"Normal"))</f>
        <v>0.60000000000000142</v>
      </c>
    </row>
    <row r="226" spans="2:14" x14ac:dyDescent="0.35">
      <c r="B226" s="33" t="s">
        <v>431</v>
      </c>
      <c r="C226" s="33" t="s">
        <v>148</v>
      </c>
      <c r="D226" s="2" t="s">
        <v>149</v>
      </c>
      <c r="E226" s="2"/>
      <c r="F226" s="3" t="s">
        <v>146</v>
      </c>
      <c r="G226" s="55">
        <v>43115</v>
      </c>
      <c r="H226" s="43">
        <v>13.7</v>
      </c>
      <c r="I226" s="43" t="str" cm="1">
        <f t="array" ref="I22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226" s="43"/>
      <c r="K226" s="43"/>
      <c r="L226" s="44"/>
      <c r="M226" s="57" t="str">
        <f>IF(ISBLANK(Tabela1[[#This Row],[Min]]),"NMin",IF(Tabela1[[#This Row],[Valor]]&lt;Tabela1[[#This Row],[Min]],Tabela1[[#This Row],[Valor]]-Tabela1[[#This Row],[Min]],"Normal"))</f>
        <v>NMin</v>
      </c>
      <c r="N226" s="57" t="str">
        <f>IF(ISBLANK(Tabela1[[#This Row],[Max]]),"NMax",IF(Tabela1[[#This Row],[Valor]]&gt;Tabela1[[#This Row],[Max]],Tabela1[[#This Row],[Valor]]-Tabela1[[#This Row],[Max]],"Normal"))</f>
        <v>NMax</v>
      </c>
    </row>
    <row r="227" spans="2:14" x14ac:dyDescent="0.35">
      <c r="B227" s="33" t="s">
        <v>431</v>
      </c>
      <c r="C227" s="33" t="s">
        <v>121</v>
      </c>
      <c r="D227" s="2" t="s">
        <v>336</v>
      </c>
      <c r="E227" s="2" t="s">
        <v>122</v>
      </c>
      <c r="F227" s="3" t="s">
        <v>71</v>
      </c>
      <c r="G227" s="55">
        <v>44281</v>
      </c>
      <c r="H227" s="43">
        <v>1.01</v>
      </c>
      <c r="I227" s="43" t="str" cm="1">
        <f t="array" ref="I22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27" s="43"/>
      <c r="K227" s="43">
        <v>0.8</v>
      </c>
      <c r="L227" s="44">
        <v>1.76</v>
      </c>
      <c r="M227" s="57" t="str">
        <f>IF(ISBLANK(Tabela1[[#This Row],[Min]]),"NMin",IF(Tabela1[[#This Row],[Valor]]&lt;Tabela1[[#This Row],[Min]],Tabela1[[#This Row],[Valor]]-Tabela1[[#This Row],[Min]],"Normal"))</f>
        <v>Normal</v>
      </c>
      <c r="N227" s="57" t="str">
        <f>IF(ISBLANK(Tabela1[[#This Row],[Max]]),"NMax",IF(Tabela1[[#This Row],[Valor]]&gt;Tabela1[[#This Row],[Max]],Tabela1[[#This Row],[Valor]]-Tabela1[[#This Row],[Max]],"Normal"))</f>
        <v>Normal</v>
      </c>
    </row>
    <row r="228" spans="2:14" x14ac:dyDescent="0.35">
      <c r="B228" s="33" t="s">
        <v>431</v>
      </c>
      <c r="C228" s="33" t="s">
        <v>121</v>
      </c>
      <c r="D228" s="2" t="s">
        <v>336</v>
      </c>
      <c r="E228" s="2" t="s">
        <v>141</v>
      </c>
      <c r="F228" s="3" t="s">
        <v>11</v>
      </c>
      <c r="G228" s="55">
        <v>43796</v>
      </c>
      <c r="H228" s="43">
        <v>1.01</v>
      </c>
      <c r="I228" s="43" t="str" cm="1">
        <f t="array" ref="I22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28" s="43"/>
      <c r="K228" s="43">
        <v>0.7</v>
      </c>
      <c r="L228" s="44">
        <v>1.58</v>
      </c>
      <c r="M228" s="57" t="str">
        <f>IF(ISBLANK(Tabela1[[#This Row],[Min]]),"NMin",IF(Tabela1[[#This Row],[Valor]]&lt;Tabela1[[#This Row],[Min]],Tabela1[[#This Row],[Valor]]-Tabela1[[#This Row],[Min]],"Normal"))</f>
        <v>Normal</v>
      </c>
      <c r="N228" s="57" t="str">
        <f>IF(ISBLANK(Tabela1[[#This Row],[Max]]),"NMax",IF(Tabela1[[#This Row],[Valor]]&gt;Tabela1[[#This Row],[Max]],Tabela1[[#This Row],[Valor]]-Tabela1[[#This Row],[Max]],"Normal"))</f>
        <v>Normal</v>
      </c>
    </row>
    <row r="229" spans="2:14" x14ac:dyDescent="0.35">
      <c r="B229" s="33" t="s">
        <v>431</v>
      </c>
      <c r="C229" s="33" t="s">
        <v>121</v>
      </c>
      <c r="D229" s="2" t="s">
        <v>335</v>
      </c>
      <c r="E229" s="2"/>
      <c r="F229" s="3" t="s">
        <v>146</v>
      </c>
      <c r="G229" s="55">
        <v>43115</v>
      </c>
      <c r="H229" s="43">
        <v>6.76</v>
      </c>
      <c r="I229" s="43" t="str" cm="1">
        <f t="array" ref="I22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29" s="43"/>
      <c r="K229" s="43">
        <v>4.5</v>
      </c>
      <c r="L229" s="44">
        <v>12</v>
      </c>
      <c r="M229" s="57" t="str">
        <f>IF(ISBLANK(Tabela1[[#This Row],[Min]]),"NMin",IF(Tabela1[[#This Row],[Valor]]&lt;Tabela1[[#This Row],[Min]],Tabela1[[#This Row],[Valor]]-Tabela1[[#This Row],[Min]],"Normal"))</f>
        <v>Normal</v>
      </c>
      <c r="N229" s="57" t="str">
        <f>IF(ISBLANK(Tabela1[[#This Row],[Max]]),"NMax",IF(Tabela1[[#This Row],[Valor]]&gt;Tabela1[[#This Row],[Max]],Tabela1[[#This Row],[Valor]]-Tabela1[[#This Row],[Max]],"Normal"))</f>
        <v>Normal</v>
      </c>
    </row>
    <row r="230" spans="2:14" x14ac:dyDescent="0.35">
      <c r="B230" s="33" t="s">
        <v>431</v>
      </c>
      <c r="C230" s="33" t="s">
        <v>121</v>
      </c>
      <c r="D230" s="2" t="s">
        <v>335</v>
      </c>
      <c r="E230" s="2" t="s">
        <v>122</v>
      </c>
      <c r="F230" s="3" t="s">
        <v>4</v>
      </c>
      <c r="G230" s="55">
        <v>45162</v>
      </c>
      <c r="H230" s="43">
        <v>9.3000000000000007</v>
      </c>
      <c r="I230" s="43" t="str" cm="1">
        <f t="array" ref="I23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30" s="43"/>
      <c r="K230" s="43">
        <v>7</v>
      </c>
      <c r="L230" s="44">
        <v>14.08</v>
      </c>
      <c r="M230" s="57" t="str">
        <f>IF(ISBLANK(Tabela1[[#This Row],[Min]]),"NMin",IF(Tabela1[[#This Row],[Valor]]&lt;Tabela1[[#This Row],[Min]],Tabela1[[#This Row],[Valor]]-Tabela1[[#This Row],[Min]],"Normal"))</f>
        <v>Normal</v>
      </c>
      <c r="N230" s="57" t="str">
        <f>IF(ISBLANK(Tabela1[[#This Row],[Max]]),"NMax",IF(Tabela1[[#This Row],[Valor]]&gt;Tabela1[[#This Row],[Max]],Tabela1[[#This Row],[Valor]]-Tabela1[[#This Row],[Max]],"Normal"))</f>
        <v>Normal</v>
      </c>
    </row>
    <row r="231" spans="2:14" x14ac:dyDescent="0.35">
      <c r="B231" s="33" t="s">
        <v>431</v>
      </c>
      <c r="C231" s="33" t="s">
        <v>106</v>
      </c>
      <c r="D231" s="2" t="s">
        <v>0</v>
      </c>
      <c r="E231" s="2" t="s">
        <v>16</v>
      </c>
      <c r="F231" s="3" t="s">
        <v>11</v>
      </c>
      <c r="G231" s="55">
        <v>44966</v>
      </c>
      <c r="H231" s="43">
        <v>61</v>
      </c>
      <c r="I231" s="43" t="str" cm="1">
        <f t="array" ref="I23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31" s="43"/>
      <c r="K231" s="43"/>
      <c r="L231" s="44">
        <v>150</v>
      </c>
      <c r="M231" s="57" t="str">
        <f>IF(ISBLANK(Tabela1[[#This Row],[Min]]),"NMin",IF(Tabela1[[#This Row],[Valor]]&lt;Tabela1[[#This Row],[Min]],Tabela1[[#This Row],[Valor]]-Tabela1[[#This Row],[Min]],"Normal"))</f>
        <v>NMin</v>
      </c>
      <c r="N231" s="57" t="str">
        <f>IF(ISBLANK(Tabela1[[#This Row],[Max]]),"NMax",IF(Tabela1[[#This Row],[Valor]]&gt;Tabela1[[#This Row],[Max]],Tabela1[[#This Row],[Valor]]-Tabela1[[#This Row],[Max]],"Normal"))</f>
        <v>Normal</v>
      </c>
    </row>
    <row r="232" spans="2:14" x14ac:dyDescent="0.35">
      <c r="B232" s="33" t="s">
        <v>431</v>
      </c>
      <c r="C232" s="33" t="s">
        <v>106</v>
      </c>
      <c r="D232" s="2" t="s">
        <v>0</v>
      </c>
      <c r="E232" s="2"/>
      <c r="F232" s="3" t="s">
        <v>143</v>
      </c>
      <c r="G232" s="55">
        <v>41291</v>
      </c>
      <c r="H232" s="43">
        <v>62</v>
      </c>
      <c r="I232" s="43" t="str" cm="1">
        <f t="array" ref="I23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32" s="43"/>
      <c r="K232" s="43"/>
      <c r="L232" s="44">
        <v>150</v>
      </c>
      <c r="M232" s="57" t="str">
        <f>IF(ISBLANK(Tabela1[[#This Row],[Min]]),"NMin",IF(Tabela1[[#This Row],[Valor]]&lt;Tabela1[[#This Row],[Min]],Tabela1[[#This Row],[Valor]]-Tabela1[[#This Row],[Min]],"Normal"))</f>
        <v>NMin</v>
      </c>
      <c r="N232" s="57" t="str">
        <f>IF(ISBLANK(Tabela1[[#This Row],[Max]]),"NMax",IF(Tabela1[[#This Row],[Valor]]&gt;Tabela1[[#This Row],[Max]],Tabela1[[#This Row],[Valor]]-Tabela1[[#This Row],[Max]],"Normal"))</f>
        <v>Normal</v>
      </c>
    </row>
    <row r="233" spans="2:14" x14ac:dyDescent="0.35">
      <c r="B233" s="33" t="s">
        <v>431</v>
      </c>
      <c r="C233" s="33" t="s">
        <v>106</v>
      </c>
      <c r="D233" s="2" t="s">
        <v>0</v>
      </c>
      <c r="E233" s="2"/>
      <c r="F233" s="3" t="s">
        <v>142</v>
      </c>
      <c r="G233" s="55">
        <v>42984</v>
      </c>
      <c r="H233" s="43">
        <v>71</v>
      </c>
      <c r="I233" s="43" t="str" cm="1">
        <f t="array" ref="I23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33" s="43"/>
      <c r="K233" s="43"/>
      <c r="L233" s="44">
        <v>150</v>
      </c>
      <c r="M233" s="57" t="str">
        <f>IF(ISBLANK(Tabela1[[#This Row],[Min]]),"NMin",IF(Tabela1[[#This Row],[Valor]]&lt;Tabela1[[#This Row],[Min]],Tabela1[[#This Row],[Valor]]-Tabela1[[#This Row],[Min]],"Normal"))</f>
        <v>NMin</v>
      </c>
      <c r="N233" s="57" t="str">
        <f>IF(ISBLANK(Tabela1[[#This Row],[Max]]),"NMax",IF(Tabela1[[#This Row],[Valor]]&gt;Tabela1[[#This Row],[Max]],Tabela1[[#This Row],[Valor]]-Tabela1[[#This Row],[Max]],"Normal"))</f>
        <v>Normal</v>
      </c>
    </row>
    <row r="234" spans="2:14" x14ac:dyDescent="0.35">
      <c r="B234" s="33" t="s">
        <v>431</v>
      </c>
      <c r="C234" s="33" t="s">
        <v>106</v>
      </c>
      <c r="D234" s="2" t="s">
        <v>0</v>
      </c>
      <c r="E234" s="2" t="s">
        <v>19</v>
      </c>
      <c r="F234" s="3" t="s">
        <v>4</v>
      </c>
      <c r="G234" s="55">
        <v>45022</v>
      </c>
      <c r="H234" s="43">
        <v>90</v>
      </c>
      <c r="I234" s="43" t="str" cm="1">
        <f t="array" ref="I23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34" s="43"/>
      <c r="K234" s="43"/>
      <c r="L234" s="44">
        <v>150</v>
      </c>
      <c r="M234" s="57" t="str">
        <f>IF(ISBLANK(Tabela1[[#This Row],[Min]]),"NMin",IF(Tabela1[[#This Row],[Valor]]&lt;Tabela1[[#This Row],[Min]],Tabela1[[#This Row],[Valor]]-Tabela1[[#This Row],[Min]],"Normal"))</f>
        <v>NMin</v>
      </c>
      <c r="N234" s="57" t="str">
        <f>IF(ISBLANK(Tabela1[[#This Row],[Max]]),"NMax",IF(Tabela1[[#This Row],[Valor]]&gt;Tabela1[[#This Row],[Max]],Tabela1[[#This Row],[Valor]]-Tabela1[[#This Row],[Max]],"Normal"))</f>
        <v>Normal</v>
      </c>
    </row>
    <row r="235" spans="2:14" x14ac:dyDescent="0.35">
      <c r="B235" s="33" t="s">
        <v>431</v>
      </c>
      <c r="C235" s="33" t="s">
        <v>106</v>
      </c>
      <c r="D235" s="2" t="s">
        <v>0</v>
      </c>
      <c r="E235" s="2" t="s">
        <v>16</v>
      </c>
      <c r="F235" s="3" t="s">
        <v>11</v>
      </c>
      <c r="G235" s="55">
        <v>44625</v>
      </c>
      <c r="H235" s="43">
        <v>91</v>
      </c>
      <c r="I235" s="43" t="str" cm="1">
        <f t="array" ref="I23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35" s="43"/>
      <c r="K235" s="43"/>
      <c r="L235" s="44">
        <v>150</v>
      </c>
      <c r="M235" s="57" t="str">
        <f>IF(ISBLANK(Tabela1[[#This Row],[Min]]),"NMin",IF(Tabela1[[#This Row],[Valor]]&lt;Tabela1[[#This Row],[Min]],Tabela1[[#This Row],[Valor]]-Tabela1[[#This Row],[Min]],"Normal"))</f>
        <v>NMin</v>
      </c>
      <c r="N235" s="57" t="str">
        <f>IF(ISBLANK(Tabela1[[#This Row],[Max]]),"NMax",IF(Tabela1[[#This Row],[Valor]]&gt;Tabela1[[#This Row],[Max]],Tabela1[[#This Row],[Valor]]-Tabela1[[#This Row],[Max]],"Normal"))</f>
        <v>Normal</v>
      </c>
    </row>
    <row r="236" spans="2:14" x14ac:dyDescent="0.35">
      <c r="B236" s="33" t="s">
        <v>431</v>
      </c>
      <c r="C236" s="33" t="s">
        <v>106</v>
      </c>
      <c r="D236" s="2" t="s">
        <v>0</v>
      </c>
      <c r="E236" s="2" t="s">
        <v>19</v>
      </c>
      <c r="F236" s="3" t="s">
        <v>4</v>
      </c>
      <c r="G236" s="55">
        <v>44259</v>
      </c>
      <c r="H236" s="43">
        <v>94</v>
      </c>
      <c r="I236" s="43" t="str" cm="1">
        <f t="array" ref="I23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36" s="43"/>
      <c r="K236" s="43"/>
      <c r="L236" s="44">
        <v>150</v>
      </c>
      <c r="M236" s="57" t="str">
        <f>IF(ISBLANK(Tabela1[[#This Row],[Min]]),"NMin",IF(Tabela1[[#This Row],[Valor]]&lt;Tabela1[[#This Row],[Min]],Tabela1[[#This Row],[Valor]]-Tabela1[[#This Row],[Min]],"Normal"))</f>
        <v>NMin</v>
      </c>
      <c r="N236" s="57" t="str">
        <f>IF(ISBLANK(Tabela1[[#This Row],[Max]]),"NMax",IF(Tabela1[[#This Row],[Valor]]&gt;Tabela1[[#This Row],[Max]],Tabela1[[#This Row],[Valor]]-Tabela1[[#This Row],[Max]],"Normal"))</f>
        <v>Normal</v>
      </c>
    </row>
    <row r="237" spans="2:14" x14ac:dyDescent="0.35">
      <c r="B237" s="33" t="s">
        <v>431</v>
      </c>
      <c r="C237" s="33" t="s">
        <v>106</v>
      </c>
      <c r="D237" s="2" t="s">
        <v>0</v>
      </c>
      <c r="E237" s="2" t="s">
        <v>111</v>
      </c>
      <c r="F237" s="3" t="s">
        <v>71</v>
      </c>
      <c r="G237" s="55">
        <v>44281</v>
      </c>
      <c r="H237" s="43">
        <v>104</v>
      </c>
      <c r="I237" s="43" t="str" cm="1">
        <f t="array" ref="I23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37" s="43"/>
      <c r="K237" s="43"/>
      <c r="L237" s="44">
        <v>150</v>
      </c>
      <c r="M237" s="57" t="str">
        <f>IF(ISBLANK(Tabela1[[#This Row],[Min]]),"NMin",IF(Tabela1[[#This Row],[Valor]]&lt;Tabela1[[#This Row],[Min]],Tabela1[[#This Row],[Valor]]-Tabela1[[#This Row],[Min]],"Normal"))</f>
        <v>NMin</v>
      </c>
      <c r="N237" s="57" t="str">
        <f>IF(ISBLANK(Tabela1[[#This Row],[Max]]),"NMax",IF(Tabela1[[#This Row],[Valor]]&gt;Tabela1[[#This Row],[Max]],Tabela1[[#This Row],[Valor]]-Tabela1[[#This Row],[Max]],"Normal"))</f>
        <v>Normal</v>
      </c>
    </row>
    <row r="238" spans="2:14" x14ac:dyDescent="0.35">
      <c r="B238" s="33" t="s">
        <v>431</v>
      </c>
      <c r="C238" s="33" t="s">
        <v>106</v>
      </c>
      <c r="D238" s="2" t="s">
        <v>0</v>
      </c>
      <c r="E238" s="2"/>
      <c r="F238" s="3" t="s">
        <v>142</v>
      </c>
      <c r="G238" s="55">
        <v>42478</v>
      </c>
      <c r="H238" s="43">
        <v>106</v>
      </c>
      <c r="I238" s="43" t="str" cm="1">
        <f t="array" ref="I23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38" s="43"/>
      <c r="K238" s="43"/>
      <c r="L238" s="44">
        <v>150</v>
      </c>
      <c r="M238" s="57" t="str">
        <f>IF(ISBLANK(Tabela1[[#This Row],[Min]]),"NMin",IF(Tabela1[[#This Row],[Valor]]&lt;Tabela1[[#This Row],[Min]],Tabela1[[#This Row],[Valor]]-Tabela1[[#This Row],[Min]],"Normal"))</f>
        <v>NMin</v>
      </c>
      <c r="N238" s="57" t="str">
        <f>IF(ISBLANK(Tabela1[[#This Row],[Max]]),"NMax",IF(Tabela1[[#This Row],[Valor]]&gt;Tabela1[[#This Row],[Max]],Tabela1[[#This Row],[Valor]]-Tabela1[[#This Row],[Max]],"Normal"))</f>
        <v>Normal</v>
      </c>
    </row>
    <row r="239" spans="2:14" x14ac:dyDescent="0.35">
      <c r="B239" s="33" t="s">
        <v>431</v>
      </c>
      <c r="C239" s="33" t="s">
        <v>106</v>
      </c>
      <c r="D239" s="2" t="s">
        <v>0</v>
      </c>
      <c r="E239" s="2"/>
      <c r="F239" s="3" t="s">
        <v>146</v>
      </c>
      <c r="G239" s="55">
        <v>43115</v>
      </c>
      <c r="H239" s="43">
        <v>107</v>
      </c>
      <c r="I239" s="43" t="str" cm="1">
        <f t="array" ref="I23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39" s="43"/>
      <c r="K239" s="43">
        <v>40</v>
      </c>
      <c r="L239" s="44">
        <v>200</v>
      </c>
      <c r="M239" s="57" t="str">
        <f>IF(ISBLANK(Tabela1[[#This Row],[Min]]),"NMin",IF(Tabela1[[#This Row],[Valor]]&lt;Tabela1[[#This Row],[Min]],Tabela1[[#This Row],[Valor]]-Tabela1[[#This Row],[Min]],"Normal"))</f>
        <v>Normal</v>
      </c>
      <c r="N239" s="57" t="str">
        <f>IF(ISBLANK(Tabela1[[#This Row],[Max]]),"NMax",IF(Tabela1[[#This Row],[Valor]]&gt;Tabela1[[#This Row],[Max]],Tabela1[[#This Row],[Valor]]-Tabela1[[#This Row],[Max]],"Normal"))</f>
        <v>Normal</v>
      </c>
    </row>
    <row r="240" spans="2:14" x14ac:dyDescent="0.35">
      <c r="B240" s="33" t="s">
        <v>431</v>
      </c>
      <c r="C240" s="33" t="s">
        <v>44</v>
      </c>
      <c r="D240" s="2" t="s">
        <v>279</v>
      </c>
      <c r="E240" s="2" t="s">
        <v>141</v>
      </c>
      <c r="F240" s="3" t="s">
        <v>11</v>
      </c>
      <c r="G240" s="55">
        <v>43796</v>
      </c>
      <c r="H240" s="43">
        <v>3.4</v>
      </c>
      <c r="I240" s="43" t="str" cm="1">
        <f t="array" ref="I24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40" s="43"/>
      <c r="K240" s="43">
        <v>2.2999999999999998</v>
      </c>
      <c r="L240" s="44">
        <v>4.2</v>
      </c>
      <c r="M240" s="57" t="str">
        <f>IF(ISBLANK(Tabela1[[#This Row],[Min]]),"NMin",IF(Tabela1[[#This Row],[Valor]]&lt;Tabela1[[#This Row],[Min]],Tabela1[[#This Row],[Valor]]-Tabela1[[#This Row],[Min]],"Normal"))</f>
        <v>Normal</v>
      </c>
      <c r="N240" s="57" t="str">
        <f>IF(ISBLANK(Tabela1[[#This Row],[Max]]),"NMax",IF(Tabela1[[#This Row],[Valor]]&gt;Tabela1[[#This Row],[Max]],Tabela1[[#This Row],[Valor]]-Tabela1[[#This Row],[Max]],"Normal"))</f>
        <v>Normal</v>
      </c>
    </row>
    <row r="241" spans="2:14" x14ac:dyDescent="0.35">
      <c r="B241" s="33" t="s">
        <v>431</v>
      </c>
      <c r="C241" s="33" t="s">
        <v>121</v>
      </c>
      <c r="D241" s="2" t="s">
        <v>302</v>
      </c>
      <c r="E241" s="2"/>
      <c r="F241" s="3" t="s">
        <v>146</v>
      </c>
      <c r="G241" s="55">
        <v>43115</v>
      </c>
      <c r="H241" s="43">
        <v>1.05</v>
      </c>
      <c r="I241" s="43" t="str" cm="1">
        <f t="array" ref="I24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41" s="43"/>
      <c r="K241" s="43">
        <v>0.45</v>
      </c>
      <c r="L241" s="44">
        <v>1.37</v>
      </c>
      <c r="M241" s="57" t="str">
        <f>IF(ISBLANK(Tabela1[[#This Row],[Min]]),"NMin",IF(Tabela1[[#This Row],[Valor]]&lt;Tabela1[[#This Row],[Min]],Tabela1[[#This Row],[Valor]]-Tabela1[[#This Row],[Min]],"Normal"))</f>
        <v>Normal</v>
      </c>
      <c r="N241" s="57" t="str">
        <f>IF(ISBLANK(Tabela1[[#This Row],[Max]]),"NMax",IF(Tabela1[[#This Row],[Valor]]&gt;Tabela1[[#This Row],[Max]],Tabela1[[#This Row],[Valor]]-Tabela1[[#This Row],[Max]],"Normal"))</f>
        <v>Normal</v>
      </c>
    </row>
    <row r="242" spans="2:14" x14ac:dyDescent="0.35">
      <c r="B242" s="33" t="s">
        <v>431</v>
      </c>
      <c r="C242" s="33" t="s">
        <v>121</v>
      </c>
      <c r="D242" s="2" t="s">
        <v>301</v>
      </c>
      <c r="E242" s="2" t="s">
        <v>122</v>
      </c>
      <c r="F242" s="3" t="s">
        <v>71</v>
      </c>
      <c r="G242" s="55">
        <v>44281</v>
      </c>
      <c r="H242" s="43">
        <v>1</v>
      </c>
      <c r="I242" s="43" t="str" cm="1">
        <f t="array" ref="I24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42" s="43"/>
      <c r="K242" s="43">
        <v>0.6</v>
      </c>
      <c r="L242" s="44">
        <v>1.8</v>
      </c>
      <c r="M242" s="57" t="str">
        <f>IF(ISBLANK(Tabela1[[#This Row],[Min]]),"NMin",IF(Tabela1[[#This Row],[Valor]]&lt;Tabela1[[#This Row],[Min]],Tabela1[[#This Row],[Valor]]-Tabela1[[#This Row],[Min]],"Normal"))</f>
        <v>Normal</v>
      </c>
      <c r="N242" s="57" t="str">
        <f>IF(ISBLANK(Tabela1[[#This Row],[Max]]),"NMax",IF(Tabela1[[#This Row],[Valor]]&gt;Tabela1[[#This Row],[Max]],Tabela1[[#This Row],[Valor]]-Tabela1[[#This Row],[Max]],"Normal"))</f>
        <v>Normal</v>
      </c>
    </row>
    <row r="243" spans="2:14" x14ac:dyDescent="0.35">
      <c r="B243" s="33" t="s">
        <v>431</v>
      </c>
      <c r="C243" s="33" t="s">
        <v>44</v>
      </c>
      <c r="D243" s="2" t="s">
        <v>38</v>
      </c>
      <c r="E243" s="2" t="s">
        <v>32</v>
      </c>
      <c r="F243" s="3" t="s">
        <v>11</v>
      </c>
      <c r="G243" s="55">
        <v>45591</v>
      </c>
      <c r="H243" s="43">
        <v>0.745</v>
      </c>
      <c r="I243" s="43" t="str" cm="1">
        <f t="array" ref="I24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43" s="43"/>
      <c r="K243" s="43">
        <v>0.55000000000000004</v>
      </c>
      <c r="L243" s="44">
        <v>4.78</v>
      </c>
      <c r="M243" s="57" t="str">
        <f>IF(ISBLANK(Tabela1[[#This Row],[Min]]),"NMin",IF(Tabela1[[#This Row],[Valor]]&lt;Tabela1[[#This Row],[Min]],Tabela1[[#This Row],[Valor]]-Tabela1[[#This Row],[Min]],"Normal"))</f>
        <v>Normal</v>
      </c>
      <c r="N243" s="57" t="str">
        <f>IF(ISBLANK(Tabela1[[#This Row],[Max]]),"NMax",IF(Tabela1[[#This Row],[Valor]]&gt;Tabela1[[#This Row],[Max]],Tabela1[[#This Row],[Valor]]-Tabela1[[#This Row],[Max]],"Normal"))</f>
        <v>Normal</v>
      </c>
    </row>
    <row r="244" spans="2:14" x14ac:dyDescent="0.35">
      <c r="B244" s="33" t="s">
        <v>431</v>
      </c>
      <c r="C244" s="33" t="s">
        <v>44</v>
      </c>
      <c r="D244" s="2" t="s">
        <v>38</v>
      </c>
      <c r="E244" s="2" t="s">
        <v>32</v>
      </c>
      <c r="F244" s="3" t="s">
        <v>11</v>
      </c>
      <c r="G244" s="55">
        <v>44625</v>
      </c>
      <c r="H244" s="43">
        <v>0.86199999999999999</v>
      </c>
      <c r="I244" s="43" t="str" cm="1">
        <f t="array" ref="I24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44" s="43"/>
      <c r="K244" s="43">
        <v>0.55000000000000004</v>
      </c>
      <c r="L244" s="44">
        <v>4.78</v>
      </c>
      <c r="M244" s="57" t="str">
        <f>IF(ISBLANK(Tabela1[[#This Row],[Min]]),"NMin",IF(Tabela1[[#This Row],[Valor]]&lt;Tabela1[[#This Row],[Min]],Tabela1[[#This Row],[Valor]]-Tabela1[[#This Row],[Min]],"Normal"))</f>
        <v>Normal</v>
      </c>
      <c r="N244" s="57" t="str">
        <f>IF(ISBLANK(Tabela1[[#This Row],[Max]]),"NMax",IF(Tabela1[[#This Row],[Valor]]&gt;Tabela1[[#This Row],[Max]],Tabela1[[#This Row],[Valor]]-Tabela1[[#This Row],[Max]],"Normal"))</f>
        <v>Normal</v>
      </c>
    </row>
    <row r="245" spans="2:14" x14ac:dyDescent="0.35">
      <c r="B245" s="33" t="s">
        <v>431</v>
      </c>
      <c r="C245" s="33" t="s">
        <v>44</v>
      </c>
      <c r="D245" s="2" t="s">
        <v>38</v>
      </c>
      <c r="E245" s="2"/>
      <c r="F245" s="3" t="s">
        <v>146</v>
      </c>
      <c r="G245" s="55">
        <v>43115</v>
      </c>
      <c r="H245" s="43">
        <v>1.214</v>
      </c>
      <c r="I245" s="43" t="str" cm="1">
        <f t="array" ref="I24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45" s="43"/>
      <c r="K245" s="43">
        <v>0.35</v>
      </c>
      <c r="L245" s="44">
        <v>4.9400000000000004</v>
      </c>
      <c r="M245" s="57" t="str">
        <f>IF(ISBLANK(Tabela1[[#This Row],[Min]]),"NMin",IF(Tabela1[[#This Row],[Valor]]&lt;Tabela1[[#This Row],[Min]],Tabela1[[#This Row],[Valor]]-Tabela1[[#This Row],[Min]],"Normal"))</f>
        <v>Normal</v>
      </c>
      <c r="N245" s="57" t="str">
        <f>IF(ISBLANK(Tabela1[[#This Row],[Max]]),"NMax",IF(Tabela1[[#This Row],[Valor]]&gt;Tabela1[[#This Row],[Max]],Tabela1[[#This Row],[Valor]]-Tabela1[[#This Row],[Max]],"Normal"))</f>
        <v>Normal</v>
      </c>
    </row>
    <row r="246" spans="2:14" x14ac:dyDescent="0.35">
      <c r="B246" s="33" t="s">
        <v>431</v>
      </c>
      <c r="C246" s="33" t="s">
        <v>44</v>
      </c>
      <c r="D246" s="2" t="s">
        <v>38</v>
      </c>
      <c r="E246" s="2" t="s">
        <v>32</v>
      </c>
      <c r="F246" s="3" t="s">
        <v>11</v>
      </c>
      <c r="G246" s="55">
        <v>43796</v>
      </c>
      <c r="H246" s="43">
        <v>1.2929999999999999</v>
      </c>
      <c r="I246" s="43" t="str" cm="1">
        <f t="array" ref="I24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46" s="43"/>
      <c r="K246" s="43">
        <v>0.55000000000000004</v>
      </c>
      <c r="L246" s="44">
        <v>4.78</v>
      </c>
      <c r="M246" s="57" t="str">
        <f>IF(ISBLANK(Tabela1[[#This Row],[Min]]),"NMin",IF(Tabela1[[#This Row],[Valor]]&lt;Tabela1[[#This Row],[Min]],Tabela1[[#This Row],[Valor]]-Tabela1[[#This Row],[Min]],"Normal"))</f>
        <v>Normal</v>
      </c>
      <c r="N246" s="57" t="str">
        <f>IF(ISBLANK(Tabela1[[#This Row],[Max]]),"NMax",IF(Tabela1[[#This Row],[Valor]]&gt;Tabela1[[#This Row],[Max]],Tabela1[[#This Row],[Valor]]-Tabela1[[#This Row],[Max]],"Normal"))</f>
        <v>Normal</v>
      </c>
    </row>
    <row r="247" spans="2:14" x14ac:dyDescent="0.35">
      <c r="B247" s="33" t="s">
        <v>431</v>
      </c>
      <c r="C247" s="33" t="s">
        <v>121</v>
      </c>
      <c r="D247" s="2" t="s">
        <v>178</v>
      </c>
      <c r="E247" s="2" t="s">
        <v>122</v>
      </c>
      <c r="F247" s="3" t="s">
        <v>71</v>
      </c>
      <c r="G247" s="55">
        <v>43675</v>
      </c>
      <c r="H247" s="43">
        <v>0.85299999999999998</v>
      </c>
      <c r="I247" s="43" t="str" cm="1">
        <f t="array" ref="I24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47" s="43"/>
      <c r="K247" s="43">
        <v>0.35</v>
      </c>
      <c r="L247" s="44">
        <v>5.5</v>
      </c>
      <c r="M247" s="57" t="str">
        <f>IF(ISBLANK(Tabela1[[#This Row],[Min]]),"NMin",IF(Tabela1[[#This Row],[Valor]]&lt;Tabela1[[#This Row],[Min]],Tabela1[[#This Row],[Valor]]-Tabela1[[#This Row],[Min]],"Normal"))</f>
        <v>Normal</v>
      </c>
      <c r="N247" s="57" t="str">
        <f>IF(ISBLANK(Tabela1[[#This Row],[Max]]),"NMax",IF(Tabela1[[#This Row],[Valor]]&gt;Tabela1[[#This Row],[Max]],Tabela1[[#This Row],[Valor]]-Tabela1[[#This Row],[Max]],"Normal"))</f>
        <v>Normal</v>
      </c>
    </row>
    <row r="248" spans="2:14" x14ac:dyDescent="0.35">
      <c r="B248" s="33" t="s">
        <v>431</v>
      </c>
      <c r="C248" s="33" t="s">
        <v>121</v>
      </c>
      <c r="D248" s="2" t="s">
        <v>178</v>
      </c>
      <c r="E248" s="2" t="s">
        <v>122</v>
      </c>
      <c r="F248" s="3" t="s">
        <v>71</v>
      </c>
      <c r="G248" s="55">
        <v>44281</v>
      </c>
      <c r="H248" s="43">
        <v>1.234</v>
      </c>
      <c r="I248" s="43" t="str" cm="1">
        <f t="array" ref="I24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48" s="43"/>
      <c r="K248" s="43">
        <v>0.35</v>
      </c>
      <c r="L248" s="44">
        <v>5.5</v>
      </c>
      <c r="M248" s="57" t="str">
        <f>IF(ISBLANK(Tabela1[[#This Row],[Min]]),"NMin",IF(Tabela1[[#This Row],[Valor]]&lt;Tabela1[[#This Row],[Min]],Tabela1[[#This Row],[Valor]]-Tabela1[[#This Row],[Min]],"Normal"))</f>
        <v>Normal</v>
      </c>
      <c r="N248" s="57" t="str">
        <f>IF(ISBLANK(Tabela1[[#This Row],[Max]]),"NMax",IF(Tabela1[[#This Row],[Valor]]&gt;Tabela1[[#This Row],[Max]],Tabela1[[#This Row],[Valor]]-Tabela1[[#This Row],[Max]],"Normal"))</f>
        <v>Normal</v>
      </c>
    </row>
    <row r="249" spans="2:14" x14ac:dyDescent="0.35">
      <c r="B249" s="33" t="s">
        <v>431</v>
      </c>
      <c r="C249" s="33" t="s">
        <v>44</v>
      </c>
      <c r="D249" s="2" t="s">
        <v>179</v>
      </c>
      <c r="E249" s="2" t="s">
        <v>180</v>
      </c>
      <c r="F249" s="3" t="s">
        <v>4</v>
      </c>
      <c r="G249" s="55">
        <v>45162</v>
      </c>
      <c r="H249" s="43">
        <v>0.92</v>
      </c>
      <c r="I249" s="43" t="str" cm="1">
        <f t="array" ref="I24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49" s="43"/>
      <c r="K249" s="43">
        <v>0.35</v>
      </c>
      <c r="L249" s="44">
        <v>4.9400000000000004</v>
      </c>
      <c r="M249" s="57" t="str">
        <f>IF(ISBLANK(Tabela1[[#This Row],[Min]]),"NMin",IF(Tabela1[[#This Row],[Valor]]&lt;Tabela1[[#This Row],[Min]],Tabela1[[#This Row],[Valor]]-Tabela1[[#This Row],[Min]],"Normal"))</f>
        <v>Normal</v>
      </c>
      <c r="N249" s="57" t="str">
        <f>IF(ISBLANK(Tabela1[[#This Row],[Max]]),"NMax",IF(Tabela1[[#This Row],[Valor]]&gt;Tabela1[[#This Row],[Max]],Tabela1[[#This Row],[Valor]]-Tabela1[[#This Row],[Max]],"Normal"))</f>
        <v>Normal</v>
      </c>
    </row>
    <row r="250" spans="2:14" x14ac:dyDescent="0.35">
      <c r="B250" s="33" t="s">
        <v>431</v>
      </c>
      <c r="C250" s="33" t="s">
        <v>44</v>
      </c>
      <c r="D250" s="2" t="s">
        <v>133</v>
      </c>
      <c r="E250" s="2"/>
      <c r="F250" s="3" t="s">
        <v>146</v>
      </c>
      <c r="G250" s="55">
        <v>43115</v>
      </c>
      <c r="H250" s="43">
        <v>29</v>
      </c>
      <c r="I250" s="43" t="str" cm="1">
        <f t="array" ref="I25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50" s="43"/>
      <c r="K250" s="43">
        <v>15</v>
      </c>
      <c r="L250" s="44">
        <v>35</v>
      </c>
      <c r="M250" s="57" t="str">
        <f>IF(ISBLANK(Tabela1[[#This Row],[Min]]),"NMin",IF(Tabela1[[#This Row],[Valor]]&lt;Tabela1[[#This Row],[Min]],Tabela1[[#This Row],[Valor]]-Tabela1[[#This Row],[Min]],"Normal"))</f>
        <v>Normal</v>
      </c>
      <c r="N250" s="57" t="str">
        <f>IF(ISBLANK(Tabela1[[#This Row],[Max]]),"NMax",IF(Tabela1[[#This Row],[Valor]]&gt;Tabela1[[#This Row],[Max]],Tabela1[[#This Row],[Valor]]-Tabela1[[#This Row],[Max]],"Normal"))</f>
        <v>Normal</v>
      </c>
    </row>
    <row r="251" spans="2:14" x14ac:dyDescent="0.35">
      <c r="B251" s="33" t="s">
        <v>431</v>
      </c>
      <c r="C251" s="33" t="s">
        <v>44</v>
      </c>
      <c r="D251" s="2" t="s">
        <v>133</v>
      </c>
      <c r="E251" s="2" t="s">
        <v>134</v>
      </c>
      <c r="F251" s="3" t="s">
        <v>11</v>
      </c>
      <c r="G251" s="55">
        <v>43796</v>
      </c>
      <c r="H251" s="43">
        <v>36</v>
      </c>
      <c r="I251" s="43" t="str" cm="1">
        <f t="array" ref="I25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51" s="43"/>
      <c r="K251" s="43">
        <v>17</v>
      </c>
      <c r="L251" s="44">
        <v>51</v>
      </c>
      <c r="M251" s="57" t="str">
        <f>IF(ISBLANK(Tabela1[[#This Row],[Min]]),"NMin",IF(Tabela1[[#This Row],[Valor]]&lt;Tabela1[[#This Row],[Min]],Tabela1[[#This Row],[Valor]]-Tabela1[[#This Row],[Min]],"Normal"))</f>
        <v>Normal</v>
      </c>
      <c r="N251" s="57" t="str">
        <f>IF(ISBLANK(Tabela1[[#This Row],[Max]]),"NMax",IF(Tabela1[[#This Row],[Valor]]&gt;Tabela1[[#This Row],[Max]],Tabela1[[#This Row],[Valor]]-Tabela1[[#This Row],[Max]],"Normal"))</f>
        <v>Normal</v>
      </c>
    </row>
    <row r="252" spans="2:14" x14ac:dyDescent="0.35">
      <c r="B252" s="33" t="s">
        <v>431</v>
      </c>
      <c r="C252" s="33" t="s">
        <v>112</v>
      </c>
      <c r="D252" s="2" t="s">
        <v>113</v>
      </c>
      <c r="E252" s="2" t="s">
        <v>114</v>
      </c>
      <c r="F252" s="3" t="s">
        <v>71</v>
      </c>
      <c r="G252" s="55">
        <v>44281</v>
      </c>
      <c r="H252" s="43">
        <v>5.6</v>
      </c>
      <c r="I252" s="43" t="str" cm="1">
        <f t="array" ref="I25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52" s="43"/>
      <c r="K252" s="43">
        <v>3.5</v>
      </c>
      <c r="L252" s="44">
        <v>7.2</v>
      </c>
      <c r="M252" s="57" t="str">
        <f>IF(ISBLANK(Tabela1[[#This Row],[Min]]),"NMin",IF(Tabela1[[#This Row],[Valor]]&lt;Tabela1[[#This Row],[Min]],Tabela1[[#This Row],[Valor]]-Tabela1[[#This Row],[Min]],"Normal"))</f>
        <v>Normal</v>
      </c>
      <c r="N252" s="57" t="str">
        <f>IF(ISBLANK(Tabela1[[#This Row],[Max]]),"NMax",IF(Tabela1[[#This Row],[Valor]]&gt;Tabela1[[#This Row],[Max]],Tabela1[[#This Row],[Valor]]-Tabela1[[#This Row],[Max]],"Normal"))</f>
        <v>Normal</v>
      </c>
    </row>
    <row r="253" spans="2:14" x14ac:dyDescent="0.35">
      <c r="B253" s="33" t="s">
        <v>431</v>
      </c>
      <c r="C253" s="33" t="s">
        <v>90</v>
      </c>
      <c r="D253" s="2" t="s">
        <v>52</v>
      </c>
      <c r="E253" s="2" t="s">
        <v>68</v>
      </c>
      <c r="F253" s="3" t="s">
        <v>11</v>
      </c>
      <c r="G253" s="55">
        <v>44625</v>
      </c>
      <c r="H253" s="2" t="s">
        <v>59</v>
      </c>
      <c r="I253" s="43" t="str" cm="1">
        <f t="array" ref="I253">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253" s="2"/>
      <c r="K253" s="2"/>
      <c r="L253" s="34"/>
      <c r="M253" s="57" t="str">
        <f>IF(ISBLANK(Tabela1[[#This Row],[Min]]),"NMin",IF(Tabela1[[#This Row],[Valor]]&lt;Tabela1[[#This Row],[Min]],Tabela1[[#This Row],[Valor]]-Tabela1[[#This Row],[Min]],"Normal"))</f>
        <v>NMin</v>
      </c>
      <c r="N253" s="57" t="str">
        <f>IF(ISBLANK(Tabela1[[#This Row],[Max]]),"NMax",IF(Tabela1[[#This Row],[Valor]]&gt;Tabela1[[#This Row],[Max]],Tabela1[[#This Row],[Valor]]-Tabela1[[#This Row],[Max]],"Normal"))</f>
        <v>NMax</v>
      </c>
    </row>
    <row r="254" spans="2:14" x14ac:dyDescent="0.35">
      <c r="B254" s="33" t="s">
        <v>431</v>
      </c>
      <c r="C254" s="33" t="s">
        <v>90</v>
      </c>
      <c r="D254" s="2" t="s">
        <v>52</v>
      </c>
      <c r="E254" s="2" t="s">
        <v>123</v>
      </c>
      <c r="F254" s="3" t="s">
        <v>71</v>
      </c>
      <c r="G254" s="55">
        <v>44281</v>
      </c>
      <c r="H254" s="2" t="s">
        <v>33</v>
      </c>
      <c r="I254" s="43" t="str" cm="1">
        <f t="array" ref="I254">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Positivo/Negativo</v>
      </c>
      <c r="J254" s="2"/>
      <c r="K254" s="2"/>
      <c r="L254" s="34"/>
      <c r="M254" s="57" t="str">
        <f>IF(ISBLANK(Tabela1[[#This Row],[Min]]),"NMin",IF(Tabela1[[#This Row],[Valor]]&lt;Tabela1[[#This Row],[Min]],Tabela1[[#This Row],[Valor]]-Tabela1[[#This Row],[Min]],"Normal"))</f>
        <v>NMin</v>
      </c>
      <c r="N254" s="57" t="str">
        <f>IF(ISBLANK(Tabela1[[#This Row],[Max]]),"NMax",IF(Tabela1[[#This Row],[Valor]]&gt;Tabela1[[#This Row],[Max]],Tabela1[[#This Row],[Valor]]-Tabela1[[#This Row],[Max]],"Normal"))</f>
        <v>NMax</v>
      </c>
    </row>
    <row r="255" spans="2:14" x14ac:dyDescent="0.35">
      <c r="B255" s="33" t="s">
        <v>431</v>
      </c>
      <c r="C255" s="33" t="s">
        <v>162</v>
      </c>
      <c r="D255" s="2" t="s">
        <v>165</v>
      </c>
      <c r="E255" s="2"/>
      <c r="F255" s="3" t="s">
        <v>146</v>
      </c>
      <c r="G255" s="55">
        <v>43115</v>
      </c>
      <c r="H255" s="2" t="s">
        <v>33</v>
      </c>
      <c r="I255" s="43" t="str" cm="1">
        <f t="array" ref="I255">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Positivo/Negativo</v>
      </c>
      <c r="J255" s="2"/>
      <c r="K255" s="2"/>
      <c r="L255" s="34"/>
      <c r="M255" s="57" t="str">
        <f>IF(ISBLANK(Tabela1[[#This Row],[Min]]),"NMin",IF(Tabela1[[#This Row],[Valor]]&lt;Tabela1[[#This Row],[Min]],Tabela1[[#This Row],[Valor]]-Tabela1[[#This Row],[Min]],"Normal"))</f>
        <v>NMin</v>
      </c>
      <c r="N255" s="57" t="str">
        <f>IF(ISBLANK(Tabela1[[#This Row],[Max]]),"NMax",IF(Tabela1[[#This Row],[Valor]]&gt;Tabela1[[#This Row],[Max]],Tabela1[[#This Row],[Valor]]-Tabela1[[#This Row],[Max]],"Normal"))</f>
        <v>NMax</v>
      </c>
    </row>
    <row r="256" spans="2:14" x14ac:dyDescent="0.35">
      <c r="B256" s="33" t="s">
        <v>431</v>
      </c>
      <c r="C256" s="33" t="s">
        <v>95</v>
      </c>
      <c r="D256" s="2" t="s">
        <v>182</v>
      </c>
      <c r="E256" s="2" t="s">
        <v>96</v>
      </c>
      <c r="F256" s="3" t="s">
        <v>71</v>
      </c>
      <c r="G256" s="55">
        <v>44281</v>
      </c>
      <c r="H256" s="47">
        <v>29.6</v>
      </c>
      <c r="I256" s="47" t="str" cm="1">
        <f t="array" ref="I256">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56" s="47"/>
      <c r="K256" s="47">
        <v>27</v>
      </c>
      <c r="L256" s="48">
        <v>32</v>
      </c>
      <c r="M256" s="57" t="str">
        <f>IF(ISBLANK(Tabela1[[#This Row],[Min]]),"NMin",IF(Tabela1[[#This Row],[Valor]]&lt;Tabela1[[#This Row],[Min]],Tabela1[[#This Row],[Valor]]-Tabela1[[#This Row],[Min]],"Normal"))</f>
        <v>Normal</v>
      </c>
      <c r="N256" s="57" t="str">
        <f>IF(ISBLANK(Tabela1[[#This Row],[Max]]),"NMax",IF(Tabela1[[#This Row],[Valor]]&gt;Tabela1[[#This Row],[Max]],Tabela1[[#This Row],[Valor]]-Tabela1[[#This Row],[Max]],"Normal"))</f>
        <v>Normal</v>
      </c>
    </row>
    <row r="257" spans="2:14" x14ac:dyDescent="0.35">
      <c r="B257" s="33" t="s">
        <v>431</v>
      </c>
      <c r="C257" s="33" t="s">
        <v>95</v>
      </c>
      <c r="D257" s="2" t="s">
        <v>182</v>
      </c>
      <c r="E257" s="2"/>
      <c r="F257" s="3" t="s">
        <v>11</v>
      </c>
      <c r="G257" s="55">
        <v>45591</v>
      </c>
      <c r="H257" s="47">
        <v>84.5</v>
      </c>
      <c r="I257" s="47" t="str" cm="1">
        <f t="array" ref="I257">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57" s="47"/>
      <c r="K257" s="47">
        <v>78.2</v>
      </c>
      <c r="L257" s="48">
        <v>97.9</v>
      </c>
      <c r="M257" s="57" t="str">
        <f>IF(ISBLANK(Tabela1[[#This Row],[Min]]),"NMin",IF(Tabela1[[#This Row],[Valor]]&lt;Tabela1[[#This Row],[Min]],Tabela1[[#This Row],[Valor]]-Tabela1[[#This Row],[Min]],"Normal"))</f>
        <v>Normal</v>
      </c>
      <c r="N257" s="57" t="str">
        <f>IF(ISBLANK(Tabela1[[#This Row],[Max]]),"NMax",IF(Tabela1[[#This Row],[Valor]]&gt;Tabela1[[#This Row],[Max]],Tabela1[[#This Row],[Valor]]-Tabela1[[#This Row],[Max]],"Normal"))</f>
        <v>Normal</v>
      </c>
    </row>
    <row r="258" spans="2:14" x14ac:dyDescent="0.35">
      <c r="B258" s="33" t="s">
        <v>431</v>
      </c>
      <c r="C258" s="33" t="s">
        <v>95</v>
      </c>
      <c r="D258" s="2" t="s">
        <v>182</v>
      </c>
      <c r="E258" s="2" t="s">
        <v>96</v>
      </c>
      <c r="F258" s="3" t="s">
        <v>71</v>
      </c>
      <c r="G258" s="55">
        <v>44281</v>
      </c>
      <c r="H258" s="47">
        <v>86.7</v>
      </c>
      <c r="I258" s="47" t="str" cm="1">
        <f t="array" ref="I258">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58" s="47"/>
      <c r="K258" s="47">
        <v>80</v>
      </c>
      <c r="L258" s="48">
        <v>97</v>
      </c>
      <c r="M258" s="57" t="str">
        <f>IF(ISBLANK(Tabela1[[#This Row],[Min]]),"NMin",IF(Tabela1[[#This Row],[Valor]]&lt;Tabela1[[#This Row],[Min]],Tabela1[[#This Row],[Valor]]-Tabela1[[#This Row],[Min]],"Normal"))</f>
        <v>Normal</v>
      </c>
      <c r="N258" s="57" t="str">
        <f>IF(ISBLANK(Tabela1[[#This Row],[Max]]),"NMax",IF(Tabela1[[#This Row],[Valor]]&gt;Tabela1[[#This Row],[Max]],Tabela1[[#This Row],[Valor]]-Tabela1[[#This Row],[Max]],"Normal"))</f>
        <v>Normal</v>
      </c>
    </row>
    <row r="259" spans="2:14" x14ac:dyDescent="0.35">
      <c r="B259" s="33" t="s">
        <v>431</v>
      </c>
      <c r="C259" s="33" t="s">
        <v>95</v>
      </c>
      <c r="D259" s="2" t="s">
        <v>182</v>
      </c>
      <c r="E259" s="2"/>
      <c r="F259" s="3" t="s">
        <v>11</v>
      </c>
      <c r="G259" s="55">
        <v>43796</v>
      </c>
      <c r="H259" s="47">
        <v>87.3</v>
      </c>
      <c r="I259" s="47" t="str" cm="1">
        <f t="array" ref="I259">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Normal</v>
      </c>
      <c r="J259" s="47"/>
      <c r="K259" s="47">
        <v>78.2</v>
      </c>
      <c r="L259" s="48">
        <v>97.9</v>
      </c>
      <c r="M259" s="57" t="str">
        <f>IF(ISBLANK(Tabela1[[#This Row],[Min]]),"NMin",IF(Tabela1[[#This Row],[Valor]]&lt;Tabela1[[#This Row],[Min]],Tabela1[[#This Row],[Valor]]-Tabela1[[#This Row],[Min]],"Normal"))</f>
        <v>Normal</v>
      </c>
      <c r="N259" s="57" t="str">
        <f>IF(ISBLANK(Tabela1[[#This Row],[Max]]),"NMax",IF(Tabela1[[#This Row],[Valor]]&gt;Tabela1[[#This Row],[Max]],Tabela1[[#This Row],[Valor]]-Tabela1[[#This Row],[Max]],"Normal"))</f>
        <v>Normal</v>
      </c>
    </row>
    <row r="260" spans="2:14" x14ac:dyDescent="0.35">
      <c r="B260" s="33" t="s">
        <v>431</v>
      </c>
      <c r="C260" s="33" t="s">
        <v>91</v>
      </c>
      <c r="D260" s="2" t="s">
        <v>73</v>
      </c>
      <c r="E260" s="2" t="s">
        <v>80</v>
      </c>
      <c r="F260" s="3" t="s">
        <v>71</v>
      </c>
      <c r="G260" s="55">
        <v>44285</v>
      </c>
      <c r="H260" s="47">
        <v>1150</v>
      </c>
      <c r="I260" s="47" t="str" cm="1">
        <f t="array" ref="I260">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260" s="47"/>
      <c r="K260" s="47"/>
      <c r="L260" s="48"/>
      <c r="M260" s="57" t="str">
        <f>IF(ISBLANK(Tabela1[[#This Row],[Min]]),"NMin",IF(Tabela1[[#This Row],[Valor]]&lt;Tabela1[[#This Row],[Min]],Tabela1[[#This Row],[Valor]]-Tabela1[[#This Row],[Min]],"Normal"))</f>
        <v>NMin</v>
      </c>
      <c r="N260" s="57" t="str">
        <f>IF(ISBLANK(Tabela1[[#This Row],[Max]]),"NMax",IF(Tabela1[[#This Row],[Valor]]&gt;Tabela1[[#This Row],[Max]],Tabela1[[#This Row],[Valor]]-Tabela1[[#This Row],[Max]],"Normal"))</f>
        <v>NMax</v>
      </c>
    </row>
    <row r="261" spans="2:14" x14ac:dyDescent="0.35">
      <c r="B261" s="33" t="s">
        <v>431</v>
      </c>
      <c r="C261" s="33" t="s">
        <v>93</v>
      </c>
      <c r="D261" s="2" t="s">
        <v>84</v>
      </c>
      <c r="E261" s="2" t="s">
        <v>85</v>
      </c>
      <c r="F261" s="3" t="s">
        <v>71</v>
      </c>
      <c r="G261" s="55">
        <v>44285</v>
      </c>
      <c r="H261" s="47">
        <v>1400</v>
      </c>
      <c r="I261" s="47" t="str" cm="1">
        <f t="array" ref="I261">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261" s="47"/>
      <c r="K261" s="47"/>
      <c r="L261" s="48"/>
      <c r="M261" s="57" t="str">
        <f>IF(ISBLANK(Tabela1[[#This Row],[Min]]),"NMin",IF(Tabela1[[#This Row],[Valor]]&lt;Tabela1[[#This Row],[Min]],Tabela1[[#This Row],[Valor]]-Tabela1[[#This Row],[Min]],"Normal"))</f>
        <v>NMin</v>
      </c>
      <c r="N261" s="57" t="str">
        <f>IF(ISBLANK(Tabela1[[#This Row],[Max]]),"NMax",IF(Tabela1[[#This Row],[Valor]]&gt;Tabela1[[#This Row],[Max]],Tabela1[[#This Row],[Valor]]-Tabela1[[#This Row],[Max]],"Normal"))</f>
        <v>NMax</v>
      </c>
    </row>
    <row r="262" spans="2:14" x14ac:dyDescent="0.35">
      <c r="B262" s="33" t="s">
        <v>431</v>
      </c>
      <c r="C262" s="38" t="s">
        <v>93</v>
      </c>
      <c r="D262" s="39" t="s">
        <v>84</v>
      </c>
      <c r="E262" s="39" t="s">
        <v>86</v>
      </c>
      <c r="F262" s="40" t="s">
        <v>71</v>
      </c>
      <c r="G262" s="56">
        <v>44285</v>
      </c>
      <c r="H262" s="51">
        <v>1400</v>
      </c>
      <c r="I262" s="51" t="str" cm="1">
        <f t="array" ref="I262">IF(Tabela1[[#This Row],[Dmin]]&lt;=0,"Anormal",IF(AND(Tabela1[[#This Row],[Dmax]]="Normal",Tabela1[[#This Row],[Valor]]&gt;=Tabela1[[#This Row],[Min]]),"Normal",IF(AND(Tabela1[[#This Row],[Dmax]]="Normal",Tabela1[[#This Row],[Valor]]&lt;=Tabela1[[#This Row],[Max]]),"Normal",IF(AND(Tabela1[[#This Row],[Dmin]]="Normal",Tabela1[[#This Row],[Dmax]]="Normal"),"Normal",_xlfn.IFS(OR(Tabela1[[#This Row],[Valor]]="Positivo",Tabela1[[#This Row],[Valor]]="Negativo"),"Positivo/Negativo",AND(Tabela1[[#This Row],[Dmin]]="Nmin",Tabela1[[#This Row],[Dmax]]="Nmax"),"Sem Limites",OR(Tabela1[[#This Row],[Dmin]]&lt;&gt;"Normal",Tabela1[[#This Row],[Dmax]]&lt;&gt;"Normal"),"Anormal")))))</f>
        <v>Sem Limites</v>
      </c>
      <c r="J262" s="51"/>
      <c r="K262" s="51"/>
      <c r="L262" s="52"/>
      <c r="M262" s="60" t="str">
        <f>IF(ISBLANK(Tabela1[[#This Row],[Min]]),"NMin",IF(Tabela1[[#This Row],[Valor]]&lt;Tabela1[[#This Row],[Min]],Tabela1[[#This Row],[Valor]]-Tabela1[[#This Row],[Min]],"Normal"))</f>
        <v>NMin</v>
      </c>
      <c r="N262" s="60" t="str">
        <f>IF(ISBLANK(Tabela1[[#This Row],[Max]]),"NMax",IF(Tabela1[[#This Row],[Valor]]&gt;Tabela1[[#This Row],[Max]],Tabela1[[#This Row],[Valor]]-Tabela1[[#This Row],[Max]],"Normal"))</f>
        <v>NMax</v>
      </c>
    </row>
    <row r="263" spans="2:14" x14ac:dyDescent="0.35">
      <c r="B263" s="5"/>
      <c r="C263" s="5"/>
      <c r="D263" s="5"/>
      <c r="E263" s="5"/>
      <c r="F263" s="6"/>
      <c r="G263" s="7"/>
      <c r="H263" s="5"/>
      <c r="I263" s="5"/>
      <c r="J263" s="5"/>
    </row>
    <row r="268" spans="2:14" x14ac:dyDescent="0.35">
      <c r="I268" s="62"/>
    </row>
  </sheetData>
  <phoneticPr fontId="13"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096D9-CED3-4310-A1B3-3B757702F42A}">
  <dimension ref="B2:E11"/>
  <sheetViews>
    <sheetView workbookViewId="0">
      <selection activeCell="C4" sqref="C4"/>
    </sheetView>
  </sheetViews>
  <sheetFormatPr defaultRowHeight="14.5" x14ac:dyDescent="0.35"/>
  <cols>
    <col min="4" max="4" width="48" customWidth="1"/>
    <col min="5" max="5" width="168.7265625" customWidth="1"/>
  </cols>
  <sheetData>
    <row r="2" spans="2:5" ht="34.5" customHeight="1" x14ac:dyDescent="0.35">
      <c r="B2" t="s">
        <v>188</v>
      </c>
      <c r="C2" t="s">
        <v>353</v>
      </c>
      <c r="D2" t="s">
        <v>38</v>
      </c>
      <c r="E2" s="24" t="s">
        <v>345</v>
      </c>
    </row>
    <row r="3" spans="2:5" ht="43.5" x14ac:dyDescent="0.35">
      <c r="B3" t="s">
        <v>188</v>
      </c>
      <c r="C3" t="s">
        <v>353</v>
      </c>
      <c r="D3" t="s">
        <v>189</v>
      </c>
      <c r="E3" s="24" t="s">
        <v>344</v>
      </c>
    </row>
    <row r="4" spans="2:5" ht="43.5" x14ac:dyDescent="0.35">
      <c r="B4" t="s">
        <v>188</v>
      </c>
      <c r="C4" t="s">
        <v>353</v>
      </c>
      <c r="D4" t="s">
        <v>278</v>
      </c>
      <c r="E4" s="24" t="s">
        <v>344</v>
      </c>
    </row>
    <row r="5" spans="2:5" ht="29" x14ac:dyDescent="0.35">
      <c r="B5" t="s">
        <v>188</v>
      </c>
      <c r="C5" t="s">
        <v>353</v>
      </c>
      <c r="D5" t="s">
        <v>337</v>
      </c>
      <c r="E5" s="24" t="s">
        <v>346</v>
      </c>
    </row>
    <row r="6" spans="2:5" ht="43.5" x14ac:dyDescent="0.35">
      <c r="B6" t="s">
        <v>188</v>
      </c>
      <c r="C6" t="s">
        <v>353</v>
      </c>
      <c r="D6" t="s">
        <v>338</v>
      </c>
      <c r="E6" s="24" t="s">
        <v>347</v>
      </c>
    </row>
    <row r="7" spans="2:5" ht="29" x14ac:dyDescent="0.35">
      <c r="B7" t="s">
        <v>188</v>
      </c>
      <c r="C7" t="s">
        <v>353</v>
      </c>
      <c r="D7" t="s">
        <v>339</v>
      </c>
      <c r="E7" s="24" t="s">
        <v>348</v>
      </c>
    </row>
    <row r="8" spans="2:5" ht="29" x14ac:dyDescent="0.35">
      <c r="B8" t="s">
        <v>188</v>
      </c>
      <c r="C8" t="s">
        <v>354</v>
      </c>
      <c r="D8" t="s">
        <v>340</v>
      </c>
      <c r="E8" s="24" t="s">
        <v>349</v>
      </c>
    </row>
    <row r="9" spans="2:5" ht="29" x14ac:dyDescent="0.35">
      <c r="B9" t="s">
        <v>188</v>
      </c>
      <c r="C9" t="s">
        <v>354</v>
      </c>
      <c r="D9" t="s">
        <v>341</v>
      </c>
      <c r="E9" s="24" t="s">
        <v>350</v>
      </c>
    </row>
    <row r="10" spans="2:5" ht="29" x14ac:dyDescent="0.35">
      <c r="B10" t="s">
        <v>188</v>
      </c>
      <c r="C10" t="s">
        <v>354</v>
      </c>
      <c r="D10" t="s">
        <v>342</v>
      </c>
      <c r="E10" s="24" t="s">
        <v>351</v>
      </c>
    </row>
    <row r="11" spans="2:5" ht="29" x14ac:dyDescent="0.35">
      <c r="B11" t="s">
        <v>188</v>
      </c>
      <c r="C11" t="s">
        <v>354</v>
      </c>
      <c r="D11" t="s">
        <v>343</v>
      </c>
      <c r="E11" s="24" t="s">
        <v>352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3643B-174B-4130-A118-C5639FE7A84E}">
  <dimension ref="A1:B75"/>
  <sheetViews>
    <sheetView workbookViewId="0">
      <selection activeCell="A4" sqref="A4"/>
    </sheetView>
  </sheetViews>
  <sheetFormatPr defaultRowHeight="14.5" x14ac:dyDescent="0.35"/>
  <cols>
    <col min="1" max="1" width="156" style="24" customWidth="1"/>
  </cols>
  <sheetData>
    <row r="1" spans="1:1" ht="22.5" customHeight="1" x14ac:dyDescent="0.35">
      <c r="A1" s="9" t="s">
        <v>190</v>
      </c>
    </row>
    <row r="2" spans="1:1" ht="22.5" customHeight="1" x14ac:dyDescent="0.35">
      <c r="A2" s="10" t="s">
        <v>191</v>
      </c>
    </row>
    <row r="3" spans="1:1" ht="22.5" customHeight="1" x14ac:dyDescent="0.35">
      <c r="A3" s="10" t="s">
        <v>192</v>
      </c>
    </row>
    <row r="4" spans="1:1" ht="22.5" customHeight="1" x14ac:dyDescent="0.35">
      <c r="A4" s="22" t="s">
        <v>193</v>
      </c>
    </row>
    <row r="5" spans="1:1" ht="22.5" customHeight="1" x14ac:dyDescent="0.35">
      <c r="A5" s="23" t="s">
        <v>194</v>
      </c>
    </row>
    <row r="6" spans="1:1" ht="22.5" customHeight="1" x14ac:dyDescent="0.35">
      <c r="A6" s="23" t="s">
        <v>195</v>
      </c>
    </row>
    <row r="7" spans="1:1" ht="22.5" customHeight="1" x14ac:dyDescent="0.35">
      <c r="A7" s="22" t="s">
        <v>196</v>
      </c>
    </row>
    <row r="8" spans="1:1" ht="22.5" customHeight="1" x14ac:dyDescent="0.35">
      <c r="A8" s="22" t="s">
        <v>197</v>
      </c>
    </row>
    <row r="9" spans="1:1" ht="22.5" customHeight="1" x14ac:dyDescent="0.35">
      <c r="A9" s="9" t="s">
        <v>198</v>
      </c>
    </row>
    <row r="10" spans="1:1" ht="22.5" customHeight="1" x14ac:dyDescent="0.35">
      <c r="A10" s="10" t="s">
        <v>199</v>
      </c>
    </row>
    <row r="11" spans="1:1" ht="22.5" customHeight="1" x14ac:dyDescent="0.35">
      <c r="A11" s="10" t="s">
        <v>200</v>
      </c>
    </row>
    <row r="12" spans="1:1" ht="22.5" customHeight="1" x14ac:dyDescent="0.35">
      <c r="A12" s="22" t="s">
        <v>201</v>
      </c>
    </row>
    <row r="13" spans="1:1" ht="22.5" customHeight="1" x14ac:dyDescent="0.35">
      <c r="A13" s="23" t="s">
        <v>202</v>
      </c>
    </row>
    <row r="14" spans="1:1" ht="22.5" customHeight="1" x14ac:dyDescent="0.35">
      <c r="A14" s="23" t="s">
        <v>203</v>
      </c>
    </row>
    <row r="15" spans="1:1" ht="22.5" customHeight="1" x14ac:dyDescent="0.35">
      <c r="A15" s="10" t="s">
        <v>204</v>
      </c>
    </row>
    <row r="16" spans="1:1" ht="22.5" customHeight="1" x14ac:dyDescent="0.35">
      <c r="A16" s="22" t="s">
        <v>205</v>
      </c>
    </row>
    <row r="17" spans="1:1" ht="22.5" customHeight="1" x14ac:dyDescent="0.35">
      <c r="A17" s="22" t="s">
        <v>206</v>
      </c>
    </row>
    <row r="18" spans="1:1" ht="22.5" customHeight="1" x14ac:dyDescent="0.35">
      <c r="A18" s="22" t="s">
        <v>207</v>
      </c>
    </row>
    <row r="19" spans="1:1" ht="22.5" customHeight="1" x14ac:dyDescent="0.35"/>
    <row r="20" spans="1:1" ht="22.5" customHeight="1" x14ac:dyDescent="0.35"/>
    <row r="21" spans="1:1" ht="22.5" customHeight="1" x14ac:dyDescent="0.35">
      <c r="A21" s="25" t="s">
        <v>208</v>
      </c>
    </row>
    <row r="22" spans="1:1" ht="54.75" customHeight="1" x14ac:dyDescent="0.35">
      <c r="A22" s="15" t="s">
        <v>214</v>
      </c>
    </row>
    <row r="23" spans="1:1" ht="54.75" customHeight="1" x14ac:dyDescent="0.35">
      <c r="A23" s="15" t="s">
        <v>215</v>
      </c>
    </row>
    <row r="24" spans="1:1" ht="54.75" customHeight="1" x14ac:dyDescent="0.35">
      <c r="A24" s="22" t="s">
        <v>216</v>
      </c>
    </row>
    <row r="25" spans="1:1" ht="22.5" x14ac:dyDescent="0.35">
      <c r="A25" s="16" t="s">
        <v>210</v>
      </c>
    </row>
    <row r="26" spans="1:1" x14ac:dyDescent="0.35">
      <c r="A26" s="15" t="s">
        <v>217</v>
      </c>
    </row>
    <row r="27" spans="1:1" x14ac:dyDescent="0.35">
      <c r="A27" s="26" t="s">
        <v>218</v>
      </c>
    </row>
    <row r="28" spans="1:1" x14ac:dyDescent="0.35">
      <c r="A28" s="26" t="s">
        <v>219</v>
      </c>
    </row>
    <row r="29" spans="1:1" x14ac:dyDescent="0.35">
      <c r="A29" s="26" t="s">
        <v>220</v>
      </c>
    </row>
    <row r="30" spans="1:1" x14ac:dyDescent="0.35">
      <c r="A30" s="26" t="s">
        <v>221</v>
      </c>
    </row>
    <row r="31" spans="1:1" x14ac:dyDescent="0.35">
      <c r="A31" s="26" t="s">
        <v>222</v>
      </c>
    </row>
    <row r="32" spans="1:1" x14ac:dyDescent="0.35">
      <c r="A32" s="26" t="s">
        <v>223</v>
      </c>
    </row>
    <row r="33" spans="1:1" x14ac:dyDescent="0.35">
      <c r="A33" s="26" t="s">
        <v>224</v>
      </c>
    </row>
    <row r="34" spans="1:1" x14ac:dyDescent="0.35">
      <c r="A34" s="15" t="s">
        <v>225</v>
      </c>
    </row>
    <row r="35" spans="1:1" x14ac:dyDescent="0.35">
      <c r="A35" s="15" t="s">
        <v>226</v>
      </c>
    </row>
    <row r="36" spans="1:1" ht="17" x14ac:dyDescent="0.35">
      <c r="A36" s="9" t="s">
        <v>227</v>
      </c>
    </row>
    <row r="37" spans="1:1" x14ac:dyDescent="0.35">
      <c r="A37" s="15" t="s">
        <v>228</v>
      </c>
    </row>
    <row r="38" spans="1:1" x14ac:dyDescent="0.35">
      <c r="A38" s="27" t="s">
        <v>229</v>
      </c>
    </row>
    <row r="39" spans="1:1" x14ac:dyDescent="0.35">
      <c r="A39" s="26" t="s">
        <v>230</v>
      </c>
    </row>
    <row r="40" spans="1:1" ht="22.5" x14ac:dyDescent="0.35">
      <c r="A40" s="16" t="s">
        <v>211</v>
      </c>
    </row>
    <row r="41" spans="1:1" ht="29" x14ac:dyDescent="0.35">
      <c r="A41" s="22" t="s">
        <v>231</v>
      </c>
    </row>
    <row r="42" spans="1:1" ht="29" x14ac:dyDescent="0.35">
      <c r="A42" s="22" t="s">
        <v>232</v>
      </c>
    </row>
    <row r="43" spans="1:1" ht="17" x14ac:dyDescent="0.35">
      <c r="A43" s="9" t="s">
        <v>233</v>
      </c>
    </row>
    <row r="44" spans="1:1" ht="20" x14ac:dyDescent="0.35">
      <c r="A44" s="15" t="s">
        <v>234</v>
      </c>
    </row>
    <row r="45" spans="1:1" ht="20" x14ac:dyDescent="0.35">
      <c r="A45" s="15" t="s">
        <v>235</v>
      </c>
    </row>
    <row r="46" spans="1:1" ht="22.5" x14ac:dyDescent="0.35">
      <c r="A46" s="16" t="s">
        <v>236</v>
      </c>
    </row>
    <row r="47" spans="1:1" x14ac:dyDescent="0.35">
      <c r="A47" s="15" t="s">
        <v>237</v>
      </c>
    </row>
    <row r="48" spans="1:1" ht="20" x14ac:dyDescent="0.35">
      <c r="A48" s="15" t="s">
        <v>238</v>
      </c>
    </row>
    <row r="49" spans="1:2" ht="22.5" x14ac:dyDescent="0.35">
      <c r="A49" s="16" t="s">
        <v>212</v>
      </c>
    </row>
    <row r="50" spans="1:2" x14ac:dyDescent="0.35">
      <c r="A50" s="15" t="s">
        <v>239</v>
      </c>
    </row>
    <row r="51" spans="1:2" ht="17" x14ac:dyDescent="0.35">
      <c r="A51" s="9" t="s">
        <v>240</v>
      </c>
    </row>
    <row r="52" spans="1:2" ht="20" x14ac:dyDescent="0.35">
      <c r="A52" s="15" t="s">
        <v>241</v>
      </c>
    </row>
    <row r="53" spans="1:2" x14ac:dyDescent="0.35">
      <c r="A53" s="22" t="s">
        <v>242</v>
      </c>
    </row>
    <row r="54" spans="1:2" ht="22.5" x14ac:dyDescent="0.35">
      <c r="A54" s="16" t="s">
        <v>243</v>
      </c>
    </row>
    <row r="55" spans="1:2" x14ac:dyDescent="0.35">
      <c r="A55" s="15" t="s">
        <v>244</v>
      </c>
    </row>
    <row r="56" spans="1:2" ht="98" x14ac:dyDescent="0.35">
      <c r="A56" s="28" t="s">
        <v>245</v>
      </c>
      <c r="B56" s="20" t="s">
        <v>246</v>
      </c>
    </row>
    <row r="57" spans="1:2" ht="28" x14ac:dyDescent="0.35">
      <c r="A57" s="29" t="s">
        <v>247</v>
      </c>
      <c r="B57" s="21" t="s">
        <v>248</v>
      </c>
    </row>
    <row r="58" spans="1:2" ht="28" x14ac:dyDescent="0.35">
      <c r="A58" s="29" t="s">
        <v>249</v>
      </c>
      <c r="B58" s="21" t="s">
        <v>250</v>
      </c>
    </row>
    <row r="59" spans="1:2" ht="28" x14ac:dyDescent="0.35">
      <c r="A59" s="29" t="s">
        <v>251</v>
      </c>
      <c r="B59" s="21" t="s">
        <v>252</v>
      </c>
    </row>
    <row r="60" spans="1:2" ht="28" x14ac:dyDescent="0.35">
      <c r="A60" s="29" t="s">
        <v>253</v>
      </c>
      <c r="B60" s="21" t="s">
        <v>254</v>
      </c>
    </row>
    <row r="61" spans="1:2" ht="28" x14ac:dyDescent="0.35">
      <c r="A61" s="29" t="s">
        <v>255</v>
      </c>
      <c r="B61" s="21" t="s">
        <v>256</v>
      </c>
    </row>
    <row r="62" spans="1:2" ht="28" x14ac:dyDescent="0.35">
      <c r="A62" s="29" t="s">
        <v>257</v>
      </c>
      <c r="B62" s="21" t="s">
        <v>258</v>
      </c>
    </row>
    <row r="63" spans="1:2" ht="28" x14ac:dyDescent="0.35">
      <c r="A63" s="29" t="s">
        <v>259</v>
      </c>
      <c r="B63" s="21" t="s">
        <v>260</v>
      </c>
    </row>
    <row r="64" spans="1:2" ht="28" x14ac:dyDescent="0.35">
      <c r="A64" s="29" t="s">
        <v>261</v>
      </c>
      <c r="B64" s="21" t="s">
        <v>262</v>
      </c>
    </row>
    <row r="65" spans="1:2" x14ac:dyDescent="0.35">
      <c r="A65" s="15" t="s">
        <v>263</v>
      </c>
    </row>
    <row r="66" spans="1:2" ht="17" x14ac:dyDescent="0.35">
      <c r="A66" s="9" t="s">
        <v>264</v>
      </c>
    </row>
    <row r="67" spans="1:2" x14ac:dyDescent="0.35">
      <c r="A67" s="15" t="s">
        <v>265</v>
      </c>
    </row>
    <row r="68" spans="1:2" ht="98" x14ac:dyDescent="0.35">
      <c r="A68" s="28" t="s">
        <v>266</v>
      </c>
      <c r="B68" s="20" t="s">
        <v>267</v>
      </c>
    </row>
    <row r="69" spans="1:2" ht="28" x14ac:dyDescent="0.35">
      <c r="A69" s="29" t="s">
        <v>268</v>
      </c>
      <c r="B69" s="21" t="s">
        <v>269</v>
      </c>
    </row>
    <row r="70" spans="1:2" ht="28" x14ac:dyDescent="0.35">
      <c r="A70" s="29" t="s">
        <v>270</v>
      </c>
      <c r="B70" s="21" t="s">
        <v>271</v>
      </c>
    </row>
    <row r="71" spans="1:2" ht="28" x14ac:dyDescent="0.35">
      <c r="A71" s="29" t="s">
        <v>272</v>
      </c>
      <c r="B71" s="21" t="s">
        <v>273</v>
      </c>
    </row>
    <row r="72" spans="1:2" x14ac:dyDescent="0.35">
      <c r="A72" s="15" t="s">
        <v>274</v>
      </c>
    </row>
    <row r="73" spans="1:2" x14ac:dyDescent="0.35">
      <c r="A73" s="15" t="s">
        <v>275</v>
      </c>
    </row>
    <row r="74" spans="1:2" ht="22.5" x14ac:dyDescent="0.35">
      <c r="A74" s="16" t="s">
        <v>276</v>
      </c>
    </row>
    <row r="75" spans="1:2" x14ac:dyDescent="0.35">
      <c r="A75" s="15" t="s">
        <v>277</v>
      </c>
    </row>
  </sheetData>
  <hyperlinks>
    <hyperlink ref="A38" r:id="rId1" display="https://www.rededorsaoluiz.com.br/paciente/marcar-consulta/?uid=m2rdinvvsw34g8jz73e&amp;utm_source=tuasaude.com&amp;utm_medium=tuasaudeReader&amp;utm_campaign=banner_article_middle&amp;utm_content=page_article&amp;especialidadem=31" xr:uid="{48E2F9C5-DEC5-484C-85AF-5E081E961D2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17CF3-90E4-417B-BE09-EE0C55F1F26D}">
  <dimension ref="A1:A21"/>
  <sheetViews>
    <sheetView workbookViewId="0">
      <selection activeCell="D14" sqref="D14"/>
    </sheetView>
  </sheetViews>
  <sheetFormatPr defaultRowHeight="14.5" x14ac:dyDescent="0.35"/>
  <cols>
    <col min="1" max="1" width="161.1796875" style="24" customWidth="1"/>
  </cols>
  <sheetData>
    <row r="1" spans="1:1" ht="48.75" customHeight="1" x14ac:dyDescent="0.35">
      <c r="A1" s="25" t="s">
        <v>280</v>
      </c>
    </row>
    <row r="2" spans="1:1" ht="48.75" customHeight="1" x14ac:dyDescent="0.35">
      <c r="A2" s="16" t="s">
        <v>284</v>
      </c>
    </row>
    <row r="3" spans="1:1" ht="48.75" customHeight="1" x14ac:dyDescent="0.35">
      <c r="A3" s="15" t="s">
        <v>285</v>
      </c>
    </row>
    <row r="4" spans="1:1" ht="48.75" customHeight="1" x14ac:dyDescent="0.35">
      <c r="A4" s="15" t="s">
        <v>286</v>
      </c>
    </row>
    <row r="5" spans="1:1" ht="48.75" customHeight="1" x14ac:dyDescent="0.35">
      <c r="A5" s="15" t="s">
        <v>287</v>
      </c>
    </row>
    <row r="6" spans="1:1" ht="48.75" customHeight="1" x14ac:dyDescent="0.35">
      <c r="A6" s="16" t="s">
        <v>210</v>
      </c>
    </row>
    <row r="7" spans="1:1" ht="48.75" customHeight="1" x14ac:dyDescent="0.35">
      <c r="A7" s="12" t="s">
        <v>288</v>
      </c>
    </row>
    <row r="8" spans="1:1" ht="48.75" customHeight="1" x14ac:dyDescent="0.35">
      <c r="A8" s="15" t="s">
        <v>289</v>
      </c>
    </row>
    <row r="9" spans="1:1" ht="48.75" customHeight="1" x14ac:dyDescent="0.35">
      <c r="A9" s="16" t="s">
        <v>212</v>
      </c>
    </row>
    <row r="10" spans="1:1" ht="48.75" customHeight="1" x14ac:dyDescent="0.35">
      <c r="A10" s="15" t="s">
        <v>290</v>
      </c>
    </row>
    <row r="11" spans="1:1" ht="48.75" customHeight="1" x14ac:dyDescent="0.35">
      <c r="A11" s="15" t="s">
        <v>291</v>
      </c>
    </row>
    <row r="12" spans="1:1" ht="48.75" customHeight="1" x14ac:dyDescent="0.35">
      <c r="A12" s="9" t="s">
        <v>282</v>
      </c>
    </row>
    <row r="13" spans="1:1" ht="48.75" customHeight="1" x14ac:dyDescent="0.35">
      <c r="A13" s="15" t="s">
        <v>292</v>
      </c>
    </row>
    <row r="14" spans="1:1" ht="48.75" customHeight="1" x14ac:dyDescent="0.35">
      <c r="A14" s="16" t="s">
        <v>293</v>
      </c>
    </row>
    <row r="15" spans="1:1" ht="48.75" customHeight="1" x14ac:dyDescent="0.35">
      <c r="A15" s="15" t="s">
        <v>294</v>
      </c>
    </row>
    <row r="16" spans="1:1" ht="48.75" customHeight="1" x14ac:dyDescent="0.35">
      <c r="A16" s="23" t="s">
        <v>295</v>
      </c>
    </row>
    <row r="17" spans="1:1" ht="48.75" customHeight="1" x14ac:dyDescent="0.35">
      <c r="A17" s="23" t="s">
        <v>296</v>
      </c>
    </row>
    <row r="18" spans="1:1" ht="48.75" customHeight="1" x14ac:dyDescent="0.35">
      <c r="A18" s="15" t="s">
        <v>297</v>
      </c>
    </row>
    <row r="19" spans="1:1" ht="48.75" customHeight="1" x14ac:dyDescent="0.35">
      <c r="A19" s="9" t="s">
        <v>298</v>
      </c>
    </row>
    <row r="20" spans="1:1" ht="48.75" customHeight="1" x14ac:dyDescent="0.35">
      <c r="A20" s="15" t="s">
        <v>299</v>
      </c>
    </row>
    <row r="21" spans="1:1" ht="48.75" customHeight="1" x14ac:dyDescent="0.35">
      <c r="A21" s="15" t="s">
        <v>300</v>
      </c>
    </row>
  </sheetData>
  <hyperlinks>
    <hyperlink ref="A7" r:id="rId1" display="https://www.tuasaude.com/tsh-t3-t4/" xr:uid="{DFF6E90C-2810-43CA-9DEA-97D8AEBA48E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8794-2629-48A4-9D56-405337FF0BAC}">
  <dimension ref="A1:B39"/>
  <sheetViews>
    <sheetView workbookViewId="0">
      <selection activeCell="A10" sqref="A10"/>
    </sheetView>
  </sheetViews>
  <sheetFormatPr defaultRowHeight="14.5" x14ac:dyDescent="0.35"/>
  <cols>
    <col min="1" max="1" width="159" customWidth="1"/>
  </cols>
  <sheetData>
    <row r="1" spans="1:1" ht="31.5" customHeight="1" x14ac:dyDescent="0.35">
      <c r="A1" s="13" t="s">
        <v>303</v>
      </c>
    </row>
    <row r="2" spans="1:1" ht="31.5" customHeight="1" x14ac:dyDescent="0.35">
      <c r="A2" t="s">
        <v>281</v>
      </c>
    </row>
    <row r="3" spans="1:1" ht="31.5" customHeight="1" x14ac:dyDescent="0.35">
      <c r="A3" s="14" t="s">
        <v>209</v>
      </c>
    </row>
    <row r="4" spans="1:1" ht="31.5" customHeight="1" x14ac:dyDescent="0.35">
      <c r="A4" s="16" t="s">
        <v>284</v>
      </c>
    </row>
    <row r="5" spans="1:1" ht="31.5" customHeight="1" x14ac:dyDescent="0.35">
      <c r="A5" s="15" t="s">
        <v>304</v>
      </c>
    </row>
    <row r="6" spans="1:1" ht="31.5" customHeight="1" x14ac:dyDescent="0.35">
      <c r="A6" s="15" t="s">
        <v>305</v>
      </c>
    </row>
    <row r="7" spans="1:1" ht="31.5" customHeight="1" x14ac:dyDescent="0.35">
      <c r="A7" s="12" t="s">
        <v>306</v>
      </c>
    </row>
    <row r="8" spans="1:1" ht="31.5" customHeight="1" x14ac:dyDescent="0.35">
      <c r="A8" s="16" t="s">
        <v>210</v>
      </c>
    </row>
    <row r="9" spans="1:1" ht="31.5" customHeight="1" x14ac:dyDescent="0.35">
      <c r="A9" s="15" t="s">
        <v>307</v>
      </c>
    </row>
    <row r="10" spans="1:1" ht="31.5" customHeight="1" x14ac:dyDescent="0.35">
      <c r="A10" s="15" t="s">
        <v>308</v>
      </c>
    </row>
    <row r="11" spans="1:1" ht="31.5" customHeight="1" x14ac:dyDescent="0.35">
      <c r="A11" s="15" t="s">
        <v>309</v>
      </c>
    </row>
    <row r="12" spans="1:1" ht="31.5" customHeight="1" x14ac:dyDescent="0.35">
      <c r="A12" s="15" t="s">
        <v>310</v>
      </c>
    </row>
    <row r="13" spans="1:1" ht="31.5" customHeight="1" x14ac:dyDescent="0.35">
      <c r="A13" s="16" t="s">
        <v>311</v>
      </c>
    </row>
    <row r="14" spans="1:1" ht="31.5" customHeight="1" x14ac:dyDescent="0.35">
      <c r="A14" s="15" t="s">
        <v>312</v>
      </c>
    </row>
    <row r="15" spans="1:1" ht="31.5" customHeight="1" x14ac:dyDescent="0.35">
      <c r="A15" s="16" t="s">
        <v>282</v>
      </c>
    </row>
    <row r="16" spans="1:1" ht="31.5" customHeight="1" x14ac:dyDescent="0.35">
      <c r="A16" s="15" t="s">
        <v>313</v>
      </c>
    </row>
    <row r="17" spans="1:2" ht="31.5" customHeight="1" x14ac:dyDescent="0.35">
      <c r="A17" s="30" t="s">
        <v>245</v>
      </c>
      <c r="B17" s="30" t="s">
        <v>314</v>
      </c>
    </row>
    <row r="18" spans="1:2" ht="31.5" customHeight="1" x14ac:dyDescent="0.35">
      <c r="A18" s="31" t="s">
        <v>247</v>
      </c>
      <c r="B18" s="32" t="s">
        <v>315</v>
      </c>
    </row>
    <row r="19" spans="1:2" ht="31.5" customHeight="1" x14ac:dyDescent="0.35">
      <c r="A19" s="31" t="s">
        <v>316</v>
      </c>
      <c r="B19" s="32" t="s">
        <v>317</v>
      </c>
    </row>
    <row r="20" spans="1:2" ht="31.5" customHeight="1" x14ac:dyDescent="0.35">
      <c r="A20" s="31" t="s">
        <v>318</v>
      </c>
      <c r="B20" s="32" t="s">
        <v>319</v>
      </c>
    </row>
    <row r="21" spans="1:2" ht="31.5" customHeight="1" x14ac:dyDescent="0.35">
      <c r="A21" s="31" t="s">
        <v>320</v>
      </c>
      <c r="B21" s="32" t="s">
        <v>321</v>
      </c>
    </row>
    <row r="22" spans="1:2" ht="31.5" customHeight="1" x14ac:dyDescent="0.35">
      <c r="A22" s="31" t="s">
        <v>322</v>
      </c>
      <c r="B22" s="32" t="s">
        <v>323</v>
      </c>
    </row>
    <row r="23" spans="1:2" ht="31.5" customHeight="1" x14ac:dyDescent="0.35">
      <c r="A23" s="20" t="s">
        <v>324</v>
      </c>
      <c r="B23" s="32" t="s">
        <v>325</v>
      </c>
    </row>
    <row r="24" spans="1:2" ht="31.5" customHeight="1" x14ac:dyDescent="0.35">
      <c r="A24" s="15" t="s">
        <v>326</v>
      </c>
    </row>
    <row r="25" spans="1:2" ht="31.5" customHeight="1" x14ac:dyDescent="0.35">
      <c r="A25" s="16" t="s">
        <v>327</v>
      </c>
    </row>
    <row r="26" spans="1:2" ht="31.5" customHeight="1" x14ac:dyDescent="0.35">
      <c r="A26" s="15" t="s">
        <v>328</v>
      </c>
    </row>
    <row r="27" spans="1:2" ht="31.5" customHeight="1" x14ac:dyDescent="0.35">
      <c r="A27" s="17" t="s">
        <v>329</v>
      </c>
    </row>
    <row r="28" spans="1:2" ht="31.5" customHeight="1" x14ac:dyDescent="0.35">
      <c r="A28" s="17" t="s">
        <v>330</v>
      </c>
    </row>
    <row r="29" spans="1:2" ht="31.5" customHeight="1" x14ac:dyDescent="0.35">
      <c r="A29" s="17" t="s">
        <v>331</v>
      </c>
    </row>
    <row r="30" spans="1:2" ht="31.5" customHeight="1" x14ac:dyDescent="0.35">
      <c r="A30" s="17" t="s">
        <v>332</v>
      </c>
    </row>
    <row r="31" spans="1:2" ht="31.5" customHeight="1" x14ac:dyDescent="0.35">
      <c r="A31" s="17" t="s">
        <v>333</v>
      </c>
    </row>
    <row r="32" spans="1:2" ht="31.5" customHeight="1" x14ac:dyDescent="0.35">
      <c r="A32" s="12" t="s">
        <v>334</v>
      </c>
    </row>
    <row r="33" ht="31.5" customHeight="1" x14ac:dyDescent="0.35"/>
    <row r="34" ht="31.5" customHeight="1" x14ac:dyDescent="0.35"/>
    <row r="35" ht="31.5" customHeight="1" x14ac:dyDescent="0.35"/>
    <row r="36" ht="31.5" customHeight="1" x14ac:dyDescent="0.35"/>
    <row r="37" ht="31.5" customHeight="1" x14ac:dyDescent="0.35"/>
    <row r="38" ht="31.5" customHeight="1" x14ac:dyDescent="0.35"/>
    <row r="39" ht="31.5" customHeight="1" x14ac:dyDescent="0.35"/>
  </sheetData>
  <hyperlinks>
    <hyperlink ref="A3" r:id="rId1" display="https://www.tuasaude.com/marcela-lemos/" xr:uid="{D22693A3-0AE8-4B9F-A599-EE48B21D7AF4}"/>
    <hyperlink ref="A7" r:id="rId2" display="https://www.tuasaude.com/exame-tsh/" xr:uid="{94A58CAC-8E8A-4861-B51A-BF268CE84DA9}"/>
    <hyperlink ref="A32" r:id="rId3" display="https://www.tuasaude.com/tsh-t3-t4/" xr:uid="{9224B24B-1721-476E-89AC-C6D32EF98E8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5F12A-DB62-45CC-897E-7C1E0AB19D7F}">
  <dimension ref="A1:B53"/>
  <sheetViews>
    <sheetView topLeftCell="A18" workbookViewId="0">
      <selection activeCell="A6" sqref="A6"/>
    </sheetView>
  </sheetViews>
  <sheetFormatPr defaultRowHeight="14.5" x14ac:dyDescent="0.35"/>
  <cols>
    <col min="1" max="1" width="190.453125" customWidth="1"/>
  </cols>
  <sheetData>
    <row r="1" spans="1:1" ht="26.25" customHeight="1" x14ac:dyDescent="0.35">
      <c r="A1" s="13" t="s">
        <v>368</v>
      </c>
    </row>
    <row r="2" spans="1:1" ht="26.25" customHeight="1" x14ac:dyDescent="0.35">
      <c r="A2" s="15" t="s">
        <v>371</v>
      </c>
    </row>
    <row r="3" spans="1:1" ht="26.25" customHeight="1" x14ac:dyDescent="0.35">
      <c r="A3" s="15" t="s">
        <v>372</v>
      </c>
    </row>
    <row r="4" spans="1:1" ht="26.25" customHeight="1" x14ac:dyDescent="0.35">
      <c r="A4" s="15" t="s">
        <v>373</v>
      </c>
    </row>
    <row r="5" spans="1:1" ht="26.25" customHeight="1" x14ac:dyDescent="0.35">
      <c r="A5" s="16" t="s">
        <v>369</v>
      </c>
    </row>
    <row r="6" spans="1:1" ht="26.25" customHeight="1" x14ac:dyDescent="0.35">
      <c r="A6" s="15" t="s">
        <v>374</v>
      </c>
    </row>
    <row r="7" spans="1:1" ht="26.25" customHeight="1" x14ac:dyDescent="0.35">
      <c r="A7" s="11" t="s">
        <v>375</v>
      </c>
    </row>
    <row r="8" spans="1:1" ht="26.25" customHeight="1" x14ac:dyDescent="0.35">
      <c r="A8" s="11" t="s">
        <v>376</v>
      </c>
    </row>
    <row r="9" spans="1:1" ht="26.25" customHeight="1" x14ac:dyDescent="0.35">
      <c r="A9" s="11" t="s">
        <v>377</v>
      </c>
    </row>
    <row r="10" spans="1:1" ht="26.25" customHeight="1" x14ac:dyDescent="0.35">
      <c r="A10" s="12" t="s">
        <v>378</v>
      </c>
    </row>
    <row r="11" spans="1:1" ht="26.25" customHeight="1" x14ac:dyDescent="0.35">
      <c r="A11" s="9" t="s">
        <v>379</v>
      </c>
    </row>
    <row r="12" spans="1:1" ht="26.25" customHeight="1" x14ac:dyDescent="0.35">
      <c r="A12" s="15" t="s">
        <v>380</v>
      </c>
    </row>
    <row r="13" spans="1:1" ht="26.25" customHeight="1" x14ac:dyDescent="0.35">
      <c r="A13" s="19" t="s">
        <v>229</v>
      </c>
    </row>
    <row r="14" spans="1:1" ht="26.25" customHeight="1" x14ac:dyDescent="0.35">
      <c r="A14" s="18" t="s">
        <v>230</v>
      </c>
    </row>
    <row r="15" spans="1:1" ht="26.25" customHeight="1" x14ac:dyDescent="0.35">
      <c r="A15" s="9" t="s">
        <v>381</v>
      </c>
    </row>
    <row r="16" spans="1:1" ht="26.25" customHeight="1" x14ac:dyDescent="0.35">
      <c r="A16" s="15" t="s">
        <v>382</v>
      </c>
    </row>
    <row r="17" spans="1:2" ht="26.25" customHeight="1" x14ac:dyDescent="0.35">
      <c r="A17" s="16" t="s">
        <v>213</v>
      </c>
    </row>
    <row r="18" spans="1:2" ht="26.25" customHeight="1" x14ac:dyDescent="0.35">
      <c r="A18" s="15" t="s">
        <v>383</v>
      </c>
    </row>
    <row r="19" spans="1:2" ht="26.25" customHeight="1" x14ac:dyDescent="0.35">
      <c r="A19" s="63" t="s">
        <v>384</v>
      </c>
      <c r="B19" s="63" t="s">
        <v>385</v>
      </c>
    </row>
    <row r="20" spans="1:2" ht="26.25" customHeight="1" x14ac:dyDescent="0.35">
      <c r="A20" s="64" t="s">
        <v>386</v>
      </c>
      <c r="B20" s="32" t="s">
        <v>387</v>
      </c>
    </row>
    <row r="21" spans="1:2" ht="26.25" customHeight="1" x14ac:dyDescent="0.35">
      <c r="A21" s="64" t="s">
        <v>388</v>
      </c>
      <c r="B21" s="32" t="s">
        <v>389</v>
      </c>
    </row>
    <row r="22" spans="1:2" ht="26.25" customHeight="1" x14ac:dyDescent="0.35">
      <c r="A22" s="64" t="s">
        <v>390</v>
      </c>
      <c r="B22" s="32" t="s">
        <v>391</v>
      </c>
    </row>
    <row r="23" spans="1:2" ht="26.25" customHeight="1" x14ac:dyDescent="0.35">
      <c r="A23" s="12" t="s">
        <v>392</v>
      </c>
    </row>
    <row r="24" spans="1:2" ht="26.25" customHeight="1" x14ac:dyDescent="0.35">
      <c r="A24" s="16" t="s">
        <v>393</v>
      </c>
    </row>
    <row r="25" spans="1:2" ht="26.25" customHeight="1" x14ac:dyDescent="0.35">
      <c r="A25" s="15" t="s">
        <v>394</v>
      </c>
    </row>
    <row r="26" spans="1:2" ht="26.25" customHeight="1" x14ac:dyDescent="0.35">
      <c r="A26" s="17" t="s">
        <v>395</v>
      </c>
    </row>
    <row r="27" spans="1:2" ht="26.25" customHeight="1" x14ac:dyDescent="0.35">
      <c r="A27" s="17" t="s">
        <v>396</v>
      </c>
    </row>
    <row r="28" spans="1:2" ht="26.25" customHeight="1" x14ac:dyDescent="0.35">
      <c r="A28" s="17" t="s">
        <v>397</v>
      </c>
    </row>
    <row r="29" spans="1:2" ht="26.25" customHeight="1" x14ac:dyDescent="0.35">
      <c r="A29" s="12" t="s">
        <v>398</v>
      </c>
    </row>
    <row r="30" spans="1:2" ht="26.25" customHeight="1" x14ac:dyDescent="0.35">
      <c r="A30" s="16" t="s">
        <v>399</v>
      </c>
    </row>
    <row r="31" spans="1:2" ht="26.25" customHeight="1" x14ac:dyDescent="0.35">
      <c r="A31" s="15" t="s">
        <v>400</v>
      </c>
    </row>
    <row r="32" spans="1:2" ht="26.25" customHeight="1" x14ac:dyDescent="0.35">
      <c r="A32" s="9" t="s">
        <v>401</v>
      </c>
    </row>
    <row r="33" spans="1:1" ht="26.25" customHeight="1" x14ac:dyDescent="0.35">
      <c r="A33" s="12" t="s">
        <v>402</v>
      </c>
    </row>
    <row r="34" spans="1:1" ht="26.25" customHeight="1" x14ac:dyDescent="0.35">
      <c r="A34" s="15" t="s">
        <v>403</v>
      </c>
    </row>
    <row r="35" spans="1:1" ht="26.25" customHeight="1" x14ac:dyDescent="0.35">
      <c r="A35" s="9" t="s">
        <v>404</v>
      </c>
    </row>
    <row r="36" spans="1:1" ht="26.25" customHeight="1" x14ac:dyDescent="0.35">
      <c r="A36" s="12" t="s">
        <v>405</v>
      </c>
    </row>
    <row r="37" spans="1:1" ht="26.25" customHeight="1" x14ac:dyDescent="0.35">
      <c r="A37" s="15" t="s">
        <v>406</v>
      </c>
    </row>
    <row r="38" spans="1:1" ht="26.25" customHeight="1" x14ac:dyDescent="0.35">
      <c r="A38" s="9" t="s">
        <v>407</v>
      </c>
    </row>
    <row r="39" spans="1:1" ht="26.25" customHeight="1" x14ac:dyDescent="0.35">
      <c r="A39" s="15" t="s">
        <v>408</v>
      </c>
    </row>
    <row r="40" spans="1:1" ht="26.25" customHeight="1" x14ac:dyDescent="0.35">
      <c r="A40" s="16" t="s">
        <v>370</v>
      </c>
    </row>
    <row r="41" spans="1:1" ht="26.25" customHeight="1" x14ac:dyDescent="0.35">
      <c r="A41" s="15" t="s">
        <v>409</v>
      </c>
    </row>
    <row r="42" spans="1:1" ht="26.25" customHeight="1" x14ac:dyDescent="0.35"/>
    <row r="43" spans="1:1" ht="26.25" customHeight="1" x14ac:dyDescent="0.35"/>
    <row r="44" spans="1:1" ht="26.25" customHeight="1" x14ac:dyDescent="0.35"/>
    <row r="45" spans="1:1" ht="26.25" customHeight="1" x14ac:dyDescent="0.35"/>
    <row r="46" spans="1:1" ht="26.25" customHeight="1" x14ac:dyDescent="0.35"/>
    <row r="47" spans="1:1" ht="26.25" customHeight="1" x14ac:dyDescent="0.35"/>
    <row r="48" spans="1:1" ht="26.25" customHeight="1" x14ac:dyDescent="0.35"/>
    <row r="49" ht="26.25" customHeight="1" x14ac:dyDescent="0.35"/>
    <row r="50" ht="26.25" customHeight="1" x14ac:dyDescent="0.35"/>
    <row r="51" ht="26.25" customHeight="1" x14ac:dyDescent="0.35"/>
    <row r="52" ht="26.25" customHeight="1" x14ac:dyDescent="0.35"/>
    <row r="53" ht="26.25" customHeight="1" x14ac:dyDescent="0.35"/>
  </sheetData>
  <hyperlinks>
    <hyperlink ref="A10" r:id="rId1" display="https://www.tuasaude.com/exames-para-o-figado/" xr:uid="{D9884978-0764-4285-B574-0677D614ACF8}"/>
    <hyperlink ref="A13" r:id="rId2" display="https://www.rededorsaoluiz.com.br/paciente/marcar-consulta/?uid=m2ryf8e8lwvh10u5qy&amp;utm_source=tuasaude.com&amp;utm_medium=tuasaudeReader&amp;utm_campaign=banner_article_exams&amp;utm_content=page_article&amp;especialidadem=35" xr:uid="{CD013226-EDEE-433B-8805-6C147407C845}"/>
    <hyperlink ref="A23" r:id="rId3" display="https://www.tuasaude.com/ictericia/" xr:uid="{2A4971CC-F392-478E-A1D1-7F1E29A60142}"/>
    <hyperlink ref="A29" r:id="rId4" display="https://www.tuasaude.com/sintomas-de-problemas-no-figado/" xr:uid="{6E002B71-E283-4838-AE67-895DC7BEEDD1}"/>
    <hyperlink ref="A33" r:id="rId5" display="https://www.tuasaude.com/hepatite/" xr:uid="{765FDF24-CB25-4286-ACBC-09114086ED55}"/>
    <hyperlink ref="A36" r:id="rId6" display="https://www.tuasaude.com/sindrome-de-gilbert/" xr:uid="{236FEB94-9FDA-4816-8C47-D1936FE95BF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5E135-87EE-4766-A5C8-DFB56F47B17D}">
  <dimension ref="A1:A36"/>
  <sheetViews>
    <sheetView workbookViewId="0">
      <selection activeCell="A2" sqref="A1:XFD36"/>
    </sheetView>
  </sheetViews>
  <sheetFormatPr defaultRowHeight="14.5" x14ac:dyDescent="0.35"/>
  <cols>
    <col min="1" max="1" width="197.7265625" customWidth="1"/>
  </cols>
  <sheetData>
    <row r="1" spans="1:1" ht="19.5" customHeight="1" x14ac:dyDescent="0.35">
      <c r="A1" s="13" t="s">
        <v>410</v>
      </c>
    </row>
    <row r="2" spans="1:1" ht="19.5" customHeight="1" x14ac:dyDescent="0.35">
      <c r="A2" t="s">
        <v>281</v>
      </c>
    </row>
    <row r="3" spans="1:1" ht="19.5" customHeight="1" x14ac:dyDescent="0.35">
      <c r="A3" s="14" t="s">
        <v>209</v>
      </c>
    </row>
    <row r="4" spans="1:1" ht="19.5" customHeight="1" x14ac:dyDescent="0.35">
      <c r="A4" s="16" t="s">
        <v>284</v>
      </c>
    </row>
    <row r="5" spans="1:1" ht="19.5" customHeight="1" x14ac:dyDescent="0.35">
      <c r="A5" s="15" t="s">
        <v>411</v>
      </c>
    </row>
    <row r="6" spans="1:1" ht="19.5" customHeight="1" x14ac:dyDescent="0.35">
      <c r="A6" s="15" t="s">
        <v>412</v>
      </c>
    </row>
    <row r="7" spans="1:1" ht="19.5" customHeight="1" x14ac:dyDescent="0.35">
      <c r="A7" s="15" t="s">
        <v>413</v>
      </c>
    </row>
    <row r="8" spans="1:1" ht="19.5" customHeight="1" x14ac:dyDescent="0.35">
      <c r="A8" s="16" t="s">
        <v>414</v>
      </c>
    </row>
    <row r="9" spans="1:1" ht="19.5" customHeight="1" x14ac:dyDescent="0.35">
      <c r="A9" s="15" t="s">
        <v>415</v>
      </c>
    </row>
    <row r="10" spans="1:1" ht="19.5" customHeight="1" x14ac:dyDescent="0.35">
      <c r="A10" s="17" t="s">
        <v>416</v>
      </c>
    </row>
    <row r="11" spans="1:1" ht="19.5" customHeight="1" x14ac:dyDescent="0.35">
      <c r="A11" s="17" t="s">
        <v>417</v>
      </c>
    </row>
    <row r="12" spans="1:1" ht="19.5" customHeight="1" x14ac:dyDescent="0.35">
      <c r="A12" s="17" t="s">
        <v>418</v>
      </c>
    </row>
    <row r="13" spans="1:1" ht="19.5" customHeight="1" x14ac:dyDescent="0.35">
      <c r="A13" s="17" t="s">
        <v>419</v>
      </c>
    </row>
    <row r="14" spans="1:1" ht="19.5" customHeight="1" x14ac:dyDescent="0.35">
      <c r="A14" s="17" t="s">
        <v>420</v>
      </c>
    </row>
    <row r="15" spans="1:1" ht="19.5" customHeight="1" x14ac:dyDescent="0.35">
      <c r="A15" s="17" t="s">
        <v>421</v>
      </c>
    </row>
    <row r="16" spans="1:1" ht="19.5" customHeight="1" x14ac:dyDescent="0.35">
      <c r="A16" s="17" t="s">
        <v>422</v>
      </c>
    </row>
    <row r="17" spans="1:1" ht="19.5" customHeight="1" x14ac:dyDescent="0.35">
      <c r="A17" s="12" t="s">
        <v>423</v>
      </c>
    </row>
    <row r="18" spans="1:1" ht="19.5" customHeight="1" x14ac:dyDescent="0.35">
      <c r="A18" s="9" t="s">
        <v>379</v>
      </c>
    </row>
    <row r="19" spans="1:1" ht="19.5" customHeight="1" x14ac:dyDescent="0.35">
      <c r="A19" s="15" t="s">
        <v>380</v>
      </c>
    </row>
    <row r="20" spans="1:1" ht="19.5" customHeight="1" x14ac:dyDescent="0.35">
      <c r="A20" s="19" t="s">
        <v>229</v>
      </c>
    </row>
    <row r="21" spans="1:1" ht="19.5" customHeight="1" x14ac:dyDescent="0.35">
      <c r="A21" s="18" t="s">
        <v>230</v>
      </c>
    </row>
    <row r="22" spans="1:1" ht="19.5" customHeight="1" x14ac:dyDescent="0.35">
      <c r="A22" s="16" t="s">
        <v>424</v>
      </c>
    </row>
    <row r="23" spans="1:1" ht="19.5" customHeight="1" x14ac:dyDescent="0.35">
      <c r="A23" s="15" t="s">
        <v>425</v>
      </c>
    </row>
    <row r="24" spans="1:1" ht="19.5" customHeight="1" x14ac:dyDescent="0.35">
      <c r="A24" s="15" t="s">
        <v>426</v>
      </c>
    </row>
    <row r="25" spans="1:1" ht="19.5" customHeight="1" x14ac:dyDescent="0.35">
      <c r="A25" s="15" t="s">
        <v>427</v>
      </c>
    </row>
    <row r="26" spans="1:1" ht="19.5" customHeight="1" x14ac:dyDescent="0.35">
      <c r="A26" s="16" t="s">
        <v>213</v>
      </c>
    </row>
    <row r="27" spans="1:1" ht="19.5" customHeight="1" x14ac:dyDescent="0.35">
      <c r="A27" s="15" t="s">
        <v>428</v>
      </c>
    </row>
    <row r="28" spans="1:1" ht="19.5" customHeight="1" x14ac:dyDescent="0.35">
      <c r="A28" s="15" t="s">
        <v>429</v>
      </c>
    </row>
    <row r="29" spans="1:1" ht="19.5" customHeight="1" x14ac:dyDescent="0.35"/>
    <row r="30" spans="1:1" ht="19.5" customHeight="1" x14ac:dyDescent="0.35"/>
    <row r="31" spans="1:1" ht="19.5" customHeight="1" x14ac:dyDescent="0.35"/>
    <row r="32" spans="1:1" ht="19.5" customHeight="1" x14ac:dyDescent="0.35"/>
    <row r="33" ht="19.5" customHeight="1" x14ac:dyDescent="0.35"/>
    <row r="34" ht="19.5" customHeight="1" x14ac:dyDescent="0.35"/>
    <row r="35" ht="19.5" customHeight="1" x14ac:dyDescent="0.35"/>
    <row r="36" ht="19.5" customHeight="1" x14ac:dyDescent="0.35"/>
  </sheetData>
  <hyperlinks>
    <hyperlink ref="A3" r:id="rId1" display="https://www.tuasaude.com/marcela-lemos/" xr:uid="{2F43F947-2A35-42CA-B545-99D3CE4CF0DF}"/>
    <hyperlink ref="A17" r:id="rId2" display="https://www.tuasaude.com/hemograma/" xr:uid="{2B0D69FB-8AD4-4BB4-A5CE-59FA4C010416}"/>
    <hyperlink ref="A20" r:id="rId3" display="https://www.rededorsaoluiz.com.br/paciente/marcar-consulta/?uid=m2ryreuert3vrgz1e1b&amp;utm_source=tuasaude.com&amp;utm_medium=tuasaudeReader&amp;utm_campaign=banner_article_exams&amp;utm_content=page_article&amp;especialidadem=30" xr:uid="{788EA392-E9E7-482F-90A8-6DE40A9E57E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24086-AE85-42F4-A612-8DCACF5D3353}">
  <dimension ref="A1"/>
  <sheetViews>
    <sheetView topLeftCell="A13" workbookViewId="0">
      <selection activeCell="C25" sqref="C25"/>
    </sheetView>
  </sheetViews>
  <sheetFormatPr defaultRowHeight="14.5" x14ac:dyDescent="0.3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83C62-B17A-4AA3-BAB7-F4D6709938CE}">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4F8C82-3025-4845-93FB-B672905946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10</vt:i4>
      </vt:variant>
    </vt:vector>
  </HeadingPairs>
  <TitlesOfParts>
    <vt:vector size="10" baseType="lpstr">
      <vt:lpstr>Tabela1</vt:lpstr>
      <vt:lpstr>Tabela Geral</vt:lpstr>
      <vt:lpstr>Relações</vt:lpstr>
      <vt:lpstr>TSH</vt:lpstr>
      <vt:lpstr>T3</vt:lpstr>
      <vt:lpstr>T4</vt:lpstr>
      <vt:lpstr>Bilirrubina </vt:lpstr>
      <vt:lpstr>Monócitos</vt:lpstr>
      <vt:lpstr>Folha2</vt:lpstr>
      <vt:lpstr>Folha10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Helder Araújo</dc:creator>
  <cp:lastModifiedBy>Helder Araujo</cp:lastModifiedBy>
  <dcterms:created xsi:type="dcterms:W3CDTF">2023-05-10T11:31:28Z</dcterms:created>
  <dcterms:modified xsi:type="dcterms:W3CDTF">2026-03-11T23:09:53Z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e46f04-1151-4928-a464-2b4d83efefbb_Enabled">
    <vt:lpwstr>true</vt:lpwstr>
  </property>
  <property fmtid="{D5CDD505-2E9C-101B-9397-08002B2CF9AE}" pid="3" name="MSIP_Label_55e46f04-1151-4928-a464-2b4d83efefbb_SetDate">
    <vt:lpwstr>2024-10-27T07:25:23Z</vt:lpwstr>
  </property>
  <property fmtid="{D5CDD505-2E9C-101B-9397-08002B2CF9AE}" pid="4" name="MSIP_Label_55e46f04-1151-4928-a464-2b4d83efefbb_Method">
    <vt:lpwstr>Standard</vt:lpwstr>
  </property>
  <property fmtid="{D5CDD505-2E9C-101B-9397-08002B2CF9AE}" pid="5" name="MSIP_Label_55e46f04-1151-4928-a464-2b4d83efefbb_Name">
    <vt:lpwstr>General Information</vt:lpwstr>
  </property>
  <property fmtid="{D5CDD505-2E9C-101B-9397-08002B2CF9AE}" pid="6" name="MSIP_Label_55e46f04-1151-4928-a464-2b4d83efefbb_SiteId">
    <vt:lpwstr>52d58be5-69b4-421b-836e-b92dbe0b067d</vt:lpwstr>
  </property>
  <property fmtid="{D5CDD505-2E9C-101B-9397-08002B2CF9AE}" pid="7" name="MSIP_Label_55e46f04-1151-4928-a464-2b4d83efefbb_ActionId">
    <vt:lpwstr>5b401baa-1cfd-4764-9593-27df5970f818</vt:lpwstr>
  </property>
  <property fmtid="{D5CDD505-2E9C-101B-9397-08002B2CF9AE}" pid="8" name="MSIP_Label_55e46f04-1151-4928-a464-2b4d83efefbb_ContentBits">
    <vt:lpwstr>0</vt:lpwstr>
  </property>
</Properties>
</file>